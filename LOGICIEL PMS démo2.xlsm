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romesaveurs-my.sharepoint.com/personal/samuel_drome-saveurs_com/Documents/Bureau/JaySolution/Démos/"/>
    </mc:Choice>
  </mc:AlternateContent>
  <xr:revisionPtr revIDLastSave="279" documentId="8_{63AE3DEA-4868-4A72-8C9E-26B264AF8885}" xr6:coauthVersionLast="47" xr6:coauthVersionMax="47" xr10:uidLastSave="{01226A84-209D-46DF-B839-4122EB47F76F}"/>
  <workbookProtection workbookAlgorithmName="SHA-512" workbookHashValue="w0M3z6XHpaaCDL99gP+K3Peddd5XgG4tzSOpEEQxeJvjoKqOssVR29tuUt4PU0xrH9vIUmoCTGIHZhY2V02FBw==" workbookSaltValue="R7h7aPvBcuVXvf23Bbo6dg==" workbookSpinCount="100000" lockStructure="1"/>
  <bookViews>
    <workbookView xWindow="-108" yWindow="-108" windowWidth="23256" windowHeight="12456" xr2:uid="{00000000-000D-0000-FFFF-FFFF00000000}"/>
  </bookViews>
  <sheets>
    <sheet name="Tableau de bord" sheetId="4" r:id="rId1"/>
    <sheet name="Tableau suivi rappels" sheetId="7" state="hidden" r:id="rId2"/>
    <sheet name="suivi des analyses" sheetId="3" state="hidden" r:id="rId3"/>
    <sheet name="suivi des non conformités" sheetId="1" state="hidden" r:id="rId4"/>
    <sheet name="suivi de concordance allergène " sheetId="2" state="hidden" r:id="rId5"/>
    <sheet name="suivi contrôle lait" sheetId="6" state="hidden" r:id="rId6"/>
    <sheet name="LISTE" sheetId="5" state="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2" i="3" l="1"/>
  <c r="I2" i="3"/>
  <c r="K3" i="3"/>
  <c r="K4" i="3"/>
  <c r="K2" i="3"/>
  <c r="J3" i="3"/>
  <c r="J4" i="3"/>
  <c r="I3" i="3"/>
  <c r="I4" i="3"/>
</calcChain>
</file>

<file path=xl/sharedStrings.xml><?xml version="1.0" encoding="utf-8"?>
<sst xmlns="http://schemas.openxmlformats.org/spreadsheetml/2006/main" count="166" uniqueCount="107">
  <si>
    <t>N°</t>
  </si>
  <si>
    <t>Donneur d’alerte</t>
  </si>
  <si>
    <t>Description</t>
  </si>
  <si>
    <t>Action immédiate</t>
  </si>
  <si>
    <t>OUI</t>
  </si>
  <si>
    <t>NON</t>
  </si>
  <si>
    <t>Lait tombé dans le camion : emballage abimé</t>
  </si>
  <si>
    <t>df</t>
  </si>
  <si>
    <t>Chiffons passés sur tous les emballages, destruction des paquets ouverts</t>
  </si>
  <si>
    <t>vigilance sur le prochain mois</t>
  </si>
  <si>
    <t>non</t>
  </si>
  <si>
    <t>Température des cuves de maturation trop  + filtre bouché</t>
  </si>
  <si>
    <t>x</t>
  </si>
  <si>
    <t>RC</t>
  </si>
  <si>
    <t xml:space="preserve">rappel du lot </t>
  </si>
  <si>
    <t>DF</t>
  </si>
  <si>
    <t>oui</t>
  </si>
  <si>
    <t>DP</t>
  </si>
  <si>
    <t>Produit</t>
  </si>
  <si>
    <t>date du contrôle</t>
  </si>
  <si>
    <t>vérification</t>
  </si>
  <si>
    <t>action corrective</t>
  </si>
  <si>
    <t>visa</t>
  </si>
  <si>
    <t xml:space="preserve">intensification du nettoyage du filtre et  attente de mise en place de l'adoucisseur </t>
  </si>
  <si>
    <t>X</t>
  </si>
  <si>
    <t>Type d’analyse</t>
  </si>
  <si>
    <t>Description du problème</t>
  </si>
  <si>
    <t>C</t>
  </si>
  <si>
    <t>OK</t>
  </si>
  <si>
    <t>NC</t>
  </si>
  <si>
    <t>Etat</t>
  </si>
  <si>
    <t>Clos</t>
  </si>
  <si>
    <t>Non-clos</t>
  </si>
  <si>
    <t>Type NC</t>
  </si>
  <si>
    <t>Efficacité</t>
  </si>
  <si>
    <t>Récidive</t>
  </si>
  <si>
    <t>Étude de causes / Actions correctives</t>
  </si>
  <si>
    <t>Criticité (1 à 9)</t>
  </si>
  <si>
    <t>Date de mise en œuvre</t>
  </si>
  <si>
    <t>Date</t>
  </si>
  <si>
    <t>Date de prélèvement</t>
  </si>
  <si>
    <t>Résultats C / NC</t>
  </si>
  <si>
    <t>Étude de causes /Actions correctives/Amélioration</t>
  </si>
  <si>
    <t>PAS OK</t>
  </si>
  <si>
    <t>Vérification</t>
  </si>
  <si>
    <t>Lot</t>
  </si>
  <si>
    <t>Date du rappel</t>
  </si>
  <si>
    <t>Fréquence</t>
  </si>
  <si>
    <t>25/07/2023</t>
  </si>
  <si>
    <t>Critères</t>
  </si>
  <si>
    <t>Micro-organismes 30°c</t>
  </si>
  <si>
    <t>Staphylocoques a coagulase positive 37°C</t>
  </si>
  <si>
    <t>Enterobactéries presumées 37°C</t>
  </si>
  <si>
    <t>Salmonella SPP</t>
  </si>
  <si>
    <t>Escherichia coli beta glucuronidase positive 44°C</t>
  </si>
  <si>
    <t>&lt;100 000</t>
  </si>
  <si>
    <t>&lt;10</t>
  </si>
  <si>
    <t>non détécté</t>
  </si>
  <si>
    <t>Résultat</t>
  </si>
  <si>
    <t>Unités</t>
  </si>
  <si>
    <t>UFC/g</t>
  </si>
  <si>
    <t>/25g</t>
  </si>
  <si>
    <t>Listeria monocytogenes</t>
  </si>
  <si>
    <t>Seuils critiques (PMS)</t>
  </si>
  <si>
    <t>aucun</t>
  </si>
  <si>
    <t>5000 UFC/g</t>
  </si>
  <si>
    <t>10 UFC/g</t>
  </si>
  <si>
    <t>10 000 UFC/g</t>
  </si>
  <si>
    <t>absence/25g</t>
  </si>
  <si>
    <t>Colonne1</t>
  </si>
  <si>
    <t>analyses</t>
  </si>
  <si>
    <t>hebdomadaire</t>
  </si>
  <si>
    <t>Contexte</t>
  </si>
  <si>
    <t>Parfum/format</t>
  </si>
  <si>
    <t>début de prod</t>
  </si>
  <si>
    <t>chemin analyse</t>
  </si>
  <si>
    <t>annuel</t>
  </si>
  <si>
    <t>P1</t>
  </si>
  <si>
    <t>P2</t>
  </si>
  <si>
    <t>P3</t>
  </si>
  <si>
    <t>P4</t>
  </si>
  <si>
    <t>P5</t>
  </si>
  <si>
    <t>employé1</t>
  </si>
  <si>
    <t>employé2</t>
  </si>
  <si>
    <t>employé3</t>
  </si>
  <si>
    <t>Présence faible d’entérobactéries</t>
  </si>
  <si>
    <t>Point faible detecté : machine mal lavée, re-lavage</t>
  </si>
  <si>
    <t>25/01/2025</t>
  </si>
  <si>
    <t>25/02/2025</t>
  </si>
  <si>
    <t>25/03/2025</t>
  </si>
  <si>
    <t>27/02/2025</t>
  </si>
  <si>
    <t>Destruction de la production</t>
  </si>
  <si>
    <t>22/03/2025</t>
  </si>
  <si>
    <t>présence d'un morceau de métal dans le lot 105</t>
  </si>
  <si>
    <t xml:space="preserve">mise en place de detecteur </t>
  </si>
  <si>
    <t>26/03/2025</t>
  </si>
  <si>
    <t>27/01/2025</t>
  </si>
  <si>
    <t>Produit1</t>
  </si>
  <si>
    <t>Produit2</t>
  </si>
  <si>
    <t>Produit3</t>
  </si>
  <si>
    <t>Germe recherché</t>
  </si>
  <si>
    <t>Unité</t>
  </si>
  <si>
    <t>Critère</t>
  </si>
  <si>
    <t>Seuil critique PMS</t>
  </si>
  <si>
    <t>employé4</t>
  </si>
  <si>
    <t>P6</t>
  </si>
  <si>
    <t>employé5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</si>
</sst>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9"/>
      <color rgb="FFFFFFFF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6881"/>
        <bgColor indexed="64"/>
      </patternFill>
    </fill>
    <fill>
      <patternFill patternType="solid">
        <fgColor rgb="FFD4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CE8C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theme="4" tint="0.79998168889431442"/>
      </patternFill>
    </fill>
  </fills>
  <borders count="10">
    <border>
      <left/>
      <right/>
      <top/>
      <bottom/>
      <diagonal/>
    </border>
    <border>
      <left style="medium">
        <color rgb="FF7FD9D8"/>
      </left>
      <right style="medium">
        <color rgb="FF7FD9D8"/>
      </right>
      <top/>
      <bottom style="medium">
        <color rgb="FF7FD9D8"/>
      </bottom>
      <diagonal/>
    </border>
    <border>
      <left/>
      <right style="medium">
        <color rgb="FF7FD9D8"/>
      </right>
      <top/>
      <bottom style="medium">
        <color rgb="FF7FD9D8"/>
      </bottom>
      <diagonal/>
    </border>
    <border>
      <left style="medium">
        <color rgb="FF7FD9D8"/>
      </left>
      <right/>
      <top style="medium">
        <color rgb="FF7FD9D8"/>
      </top>
      <bottom style="medium">
        <color rgb="FF7FD9D8"/>
      </bottom>
      <diagonal/>
    </border>
    <border>
      <left style="medium">
        <color rgb="FF35B6B4"/>
      </left>
      <right/>
      <top/>
      <bottom/>
      <diagonal/>
    </border>
    <border>
      <left/>
      <right style="medium">
        <color rgb="FF35B6B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2" fillId="3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14" fontId="2" fillId="4" borderId="2" xfId="0" applyNumberFormat="1" applyFont="1" applyFill="1" applyBorder="1" applyAlignment="1">
      <alignment horizontal="center" vertical="center" wrapText="1"/>
    </xf>
    <xf numFmtId="14" fontId="2" fillId="3" borderId="2" xfId="0" applyNumberFormat="1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left" vertical="top" wrapText="1"/>
    </xf>
    <xf numFmtId="0" fontId="5" fillId="4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 vertical="top" wrapText="1"/>
    </xf>
    <xf numFmtId="14" fontId="0" fillId="0" borderId="0" xfId="0" applyNumberFormat="1"/>
    <xf numFmtId="0" fontId="1" fillId="2" borderId="0" xfId="0" applyFont="1" applyFill="1" applyBorder="1" applyAlignment="1">
      <alignment horizontal="center" vertical="center" wrapText="1"/>
    </xf>
    <xf numFmtId="0" fontId="1" fillId="2" borderId="0" xfId="0" applyNumberFormat="1" applyFont="1" applyFill="1" applyBorder="1" applyAlignment="1">
      <alignment horizontal="center" vertical="center" wrapText="1"/>
    </xf>
    <xf numFmtId="0" fontId="2" fillId="3" borderId="2" xfId="0" applyNumberFormat="1" applyFont="1" applyFill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14" fontId="1" fillId="2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/>
    </xf>
    <xf numFmtId="0" fontId="6" fillId="6" borderId="0" xfId="0" applyFont="1" applyFill="1"/>
    <xf numFmtId="0" fontId="1" fillId="2" borderId="4" xfId="0" applyNumberFormat="1" applyFont="1" applyFill="1" applyBorder="1" applyAlignment="1">
      <alignment horizontal="center" vertical="center" wrapText="1"/>
    </xf>
    <xf numFmtId="0" fontId="5" fillId="3" borderId="1" xfId="0" applyNumberFormat="1" applyFont="1" applyFill="1" applyBorder="1" applyAlignment="1">
      <alignment horizontal="center" vertical="center" wrapText="1"/>
    </xf>
    <xf numFmtId="0" fontId="0" fillId="0" borderId="0" xfId="0" applyNumberFormat="1" applyFont="1"/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6" borderId="0" xfId="0" applyFill="1"/>
    <xf numFmtId="0" fontId="7" fillId="5" borderId="6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14" fontId="7" fillId="5" borderId="0" xfId="0" applyNumberFormat="1" applyFont="1" applyFill="1" applyBorder="1" applyAlignment="1">
      <alignment horizontal="center" vertical="center"/>
    </xf>
    <xf numFmtId="14" fontId="2" fillId="0" borderId="0" xfId="0" applyNumberFormat="1" applyFont="1"/>
    <xf numFmtId="0" fontId="0" fillId="7" borderId="7" xfId="0" applyFont="1" applyFill="1" applyBorder="1"/>
    <xf numFmtId="0" fontId="1" fillId="2" borderId="0" xfId="0" applyFont="1" applyFill="1" applyAlignment="1">
      <alignment horizontal="center" vertical="center" wrapText="1"/>
    </xf>
    <xf numFmtId="0" fontId="6" fillId="8" borderId="0" xfId="0" applyFont="1" applyFill="1"/>
    <xf numFmtId="0" fontId="0" fillId="7" borderId="8" xfId="0" applyFont="1" applyFill="1" applyBorder="1"/>
    <xf numFmtId="0" fontId="7" fillId="9" borderId="0" xfId="0" applyFont="1" applyFill="1" applyBorder="1"/>
    <xf numFmtId="0" fontId="7" fillId="9" borderId="9" xfId="0" applyFont="1" applyFill="1" applyBorder="1"/>
    <xf numFmtId="0" fontId="8" fillId="7" borderId="7" xfId="0" applyFont="1" applyFill="1" applyBorder="1"/>
    <xf numFmtId="0" fontId="8" fillId="7" borderId="8" xfId="0" applyFont="1" applyFill="1" applyBorder="1"/>
  </cellXfs>
  <cellStyles count="1">
    <cellStyle name="Normal" xfId="0" builtinId="0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1" indent="0" justifyLastLine="0" shrinkToFit="0" readingOrder="0"/>
      <border diagonalUp="0" diagonalDown="0" outline="0">
        <left/>
        <right style="medium">
          <color rgb="FF7FD9D8"/>
        </right>
        <top/>
        <bottom style="medium">
          <color rgb="FF7FD9D8"/>
        </bottom>
      </border>
    </dxf>
    <dxf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solid">
          <fgColor indexed="64"/>
          <bgColor rgb="FFD4F2F2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rgb="FF7FD9D8"/>
        </right>
        <top/>
        <bottom style="medium">
          <color rgb="FF7FD9D8"/>
        </bottom>
        <vertical/>
        <horizontal/>
      </border>
    </dxf>
    <dxf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1" indent="0" justifyLastLine="0" shrinkToFit="0" readingOrder="0"/>
      <border diagonalUp="0" diagonalDown="0" outline="0">
        <left style="medium">
          <color rgb="FF7FD9D8"/>
        </left>
        <right style="medium">
          <color rgb="FF7FD9D8"/>
        </right>
        <top/>
        <bottom style="medium">
          <color rgb="FF7FD9D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rgb="FF7FD9D8"/>
        </left>
        <right style="medium">
          <color rgb="FF7FD9D8"/>
        </right>
        <top/>
        <bottom style="medium">
          <color rgb="FF7FD9D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rgb="FF7FD9D8"/>
        </right>
        <top/>
        <bottom style="medium">
          <color rgb="FF7FD9D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solid">
          <fgColor indexed="64"/>
          <bgColor rgb="FFD4F2F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7FD9D8"/>
        </left>
        <right/>
        <top style="medium">
          <color rgb="FF7FD9D8"/>
        </top>
        <bottom style="medium">
          <color rgb="FF7FD9D8"/>
        </bottom>
      </border>
    </dxf>
    <dxf>
      <border outline="0">
        <top style="medium">
          <color rgb="FF35B6B4"/>
        </top>
        <bottom style="medium">
          <color rgb="FF7FD9D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Calibri"/>
        <family val="2"/>
        <scheme val="minor"/>
      </font>
      <fill>
        <patternFill patternType="solid">
          <fgColor indexed="64"/>
          <bgColor rgb="FF006881"/>
        </patternFill>
      </fill>
      <alignment horizontal="center" vertical="center" textRotation="0" wrapText="1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D4F2F2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rgb="FF7FD9D8"/>
        </left>
        <right style="medium">
          <color rgb="FF7FD9D8"/>
        </right>
        <top/>
        <bottom style="medium">
          <color rgb="FF7FD9D8"/>
        </bottom>
      </border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D4F2F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D4F2F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D4F2F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D4F2F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D4F2F2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rgb="FF7FD9D8"/>
        </left>
        <right style="medium">
          <color rgb="FF7FD9D8"/>
        </right>
        <top/>
        <bottom style="medium">
          <color rgb="FF7FD9D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solid">
          <fgColor indexed="64"/>
          <bgColor rgb="FFD4F2F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rgb="FF7FD9D8"/>
        </right>
        <top/>
        <bottom style="medium">
          <color rgb="FF7FD9D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D4F2F2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rgb="FF7FD9D8"/>
        </right>
        <top/>
        <bottom style="medium">
          <color rgb="FF7FD9D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D4F2F2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rgb="FF7FD9D8"/>
        </right>
        <top/>
        <bottom style="medium">
          <color rgb="FF7FD9D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D4F2F2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rgb="FF7FD9D8"/>
        </left>
        <right style="medium">
          <color rgb="FF7FD9D8"/>
        </right>
        <top/>
        <bottom style="medium">
          <color rgb="FF7FD9D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rgb="FFD4F2F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rgb="FF7FD9D8"/>
        </right>
        <top/>
        <bottom style="medium">
          <color rgb="FF7FD9D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D4F2F2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rgb="FF7FD9D8"/>
        </left>
        <right style="medium">
          <color rgb="FF7FD9D8"/>
        </right>
        <top/>
        <bottom style="medium">
          <color rgb="FF7FD9D8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</dxf>
    <dxf>
      <border outline="0">
        <top style="medium">
          <color rgb="FF35B6B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Calibri"/>
        <family val="2"/>
        <scheme val="minor"/>
      </font>
      <fill>
        <patternFill patternType="solid">
          <fgColor indexed="64"/>
          <bgColor rgb="FF00688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ACE8C3"/>
      <color rgb="FFE3AB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jp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jp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jpe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21166</xdr:rowOff>
    </xdr:from>
    <xdr:to>
      <xdr:col>19</xdr:col>
      <xdr:colOff>201083</xdr:colOff>
      <xdr:row>37</xdr:row>
      <xdr:rowOff>158750</xdr:rowOff>
    </xdr:to>
    <xdr:sp macro="" textlink="">
      <xdr:nvSpPr>
        <xdr:cNvPr id="72" name="Rectangle : coins arrondis 71">
          <a:extLst>
            <a:ext uri="{FF2B5EF4-FFF2-40B4-BE49-F238E27FC236}">
              <a16:creationId xmlns:a16="http://schemas.microsoft.com/office/drawing/2014/main" id="{80984230-86C5-49BD-BCF1-C91CC468DA68}"/>
            </a:ext>
          </a:extLst>
        </xdr:cNvPr>
        <xdr:cNvSpPr/>
      </xdr:nvSpPr>
      <xdr:spPr>
        <a:xfrm>
          <a:off x="0" y="1195916"/>
          <a:ext cx="14679083" cy="6233584"/>
        </a:xfrm>
        <a:prstGeom prst="roundRect">
          <a:avLst>
            <a:gd name="adj" fmla="val 3085"/>
          </a:avLst>
        </a:prstGeom>
        <a:gradFill>
          <a:gsLst>
            <a:gs pos="0">
              <a:srgbClr val="E3ABCB"/>
            </a:gs>
            <a:gs pos="74000">
              <a:srgbClr val="ACE8C3"/>
            </a:gs>
            <a:gs pos="83000">
              <a:srgbClr val="E3ABCB"/>
            </a:gs>
            <a:gs pos="100000">
              <a:srgbClr val="ACE8C3"/>
            </a:gs>
          </a:gsLst>
          <a:lin ang="5400000" scaled="1"/>
        </a:gradFill>
        <a:ln>
          <a:noFill/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636057</xdr:colOff>
      <xdr:row>5</xdr:row>
      <xdr:rowOff>138642</xdr:rowOff>
    </xdr:from>
    <xdr:to>
      <xdr:col>12</xdr:col>
      <xdr:colOff>711255</xdr:colOff>
      <xdr:row>9</xdr:row>
      <xdr:rowOff>101060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8FA75795-09E7-41C2-AEA3-E4EA59A9F442}"/>
            </a:ext>
          </a:extLst>
        </xdr:cNvPr>
        <xdr:cNvSpPr txBox="1"/>
      </xdr:nvSpPr>
      <xdr:spPr>
        <a:xfrm>
          <a:off x="5208057" y="1091142"/>
          <a:ext cx="4647198" cy="7244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4000">
              <a:solidFill>
                <a:schemeClr val="tx2">
                  <a:lumMod val="50000"/>
                </a:schemeClr>
              </a:solidFill>
              <a:latin typeface="Chiller" panose="04020404031007020602" pitchFamily="82" charset="0"/>
            </a:rPr>
            <a:t>SUIVI</a:t>
          </a:r>
          <a:r>
            <a:rPr lang="fr-FR" sz="4000" baseline="0">
              <a:solidFill>
                <a:schemeClr val="tx2">
                  <a:lumMod val="50000"/>
                </a:schemeClr>
              </a:solidFill>
              <a:latin typeface="Chiller" panose="04020404031007020602" pitchFamily="82" charset="0"/>
            </a:rPr>
            <a:t> DE CONFORMITE</a:t>
          </a:r>
          <a:endParaRPr lang="fr-FR" sz="4000">
            <a:solidFill>
              <a:schemeClr val="tx2">
                <a:lumMod val="50000"/>
              </a:schemeClr>
            </a:solidFill>
            <a:latin typeface="Chiller" panose="04020404031007020602" pitchFamily="82" charset="0"/>
          </a:endParaRPr>
        </a:p>
      </xdr:txBody>
    </xdr:sp>
    <xdr:clientData fLocksWithSheet="0"/>
  </xdr:twoCellAnchor>
  <xdr:twoCellAnchor editAs="oneCell">
    <xdr:from>
      <xdr:col>16</xdr:col>
      <xdr:colOff>713318</xdr:colOff>
      <xdr:row>0</xdr:row>
      <xdr:rowOff>0</xdr:rowOff>
    </xdr:from>
    <xdr:to>
      <xdr:col>19</xdr:col>
      <xdr:colOff>13061</xdr:colOff>
      <xdr:row>5</xdr:row>
      <xdr:rowOff>21165</xdr:rowOff>
    </xdr:to>
    <xdr:pic>
      <xdr:nvPicPr>
        <xdr:cNvPr id="76" name="Image 75">
          <a:extLst>
            <a:ext uri="{FF2B5EF4-FFF2-40B4-BE49-F238E27FC236}">
              <a16:creationId xmlns:a16="http://schemas.microsoft.com/office/drawing/2014/main" id="{C4F3713B-9D62-40B7-AE07-175F78CE3B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alphaModFix amt="70000"/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96" b="24194"/>
        <a:stretch/>
      </xdr:blipFill>
      <xdr:spPr>
        <a:xfrm>
          <a:off x="12905318" y="0"/>
          <a:ext cx="1585743" cy="1195915"/>
        </a:xfrm>
        <a:prstGeom prst="rect">
          <a:avLst/>
        </a:prstGeom>
        <a:effectLst>
          <a:softEdge rad="63500"/>
        </a:effec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61743</xdr:colOff>
      <xdr:row>5</xdr:row>
      <xdr:rowOff>21165</xdr:rowOff>
    </xdr:to>
    <xdr:pic>
      <xdr:nvPicPr>
        <xdr:cNvPr id="77" name="Image 76">
          <a:extLst>
            <a:ext uri="{FF2B5EF4-FFF2-40B4-BE49-F238E27FC236}">
              <a16:creationId xmlns:a16="http://schemas.microsoft.com/office/drawing/2014/main" id="{95B88D05-479F-4647-A7DC-6CE94E522D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alphaModFix amt="70000"/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96" b="24194"/>
        <a:stretch/>
      </xdr:blipFill>
      <xdr:spPr>
        <a:xfrm>
          <a:off x="0" y="0"/>
          <a:ext cx="1585743" cy="1195915"/>
        </a:xfrm>
        <a:prstGeom prst="rect">
          <a:avLst/>
        </a:prstGeom>
        <a:effectLst>
          <a:softEdge rad="63500"/>
        </a:effectLst>
      </xdr:spPr>
    </xdr:pic>
    <xdr:clientData/>
  </xdr:twoCellAnchor>
  <xdr:twoCellAnchor>
    <xdr:from>
      <xdr:col>0</xdr:col>
      <xdr:colOff>0</xdr:colOff>
      <xdr:row>0</xdr:row>
      <xdr:rowOff>110066</xdr:rowOff>
    </xdr:from>
    <xdr:to>
      <xdr:col>19</xdr:col>
      <xdr:colOff>157691</xdr:colOff>
      <xdr:row>36</xdr:row>
      <xdr:rowOff>83575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D0D02FA1-9C86-4D84-B0A5-E6EF6DEC0ACB}"/>
            </a:ext>
          </a:extLst>
        </xdr:cNvPr>
        <xdr:cNvGrpSpPr/>
      </xdr:nvGrpSpPr>
      <xdr:grpSpPr>
        <a:xfrm>
          <a:off x="0" y="110066"/>
          <a:ext cx="15118291" cy="6628309"/>
          <a:chOff x="0" y="110066"/>
          <a:chExt cx="14635691" cy="7053759"/>
        </a:xfrm>
      </xdr:grpSpPr>
      <xdr:grpSp>
        <xdr:nvGrpSpPr>
          <xdr:cNvPr id="8" name="Groupe 7">
            <a:extLst>
              <a:ext uri="{FF2B5EF4-FFF2-40B4-BE49-F238E27FC236}">
                <a16:creationId xmlns:a16="http://schemas.microsoft.com/office/drawing/2014/main" id="{D24D907D-5615-42B6-B554-D4600119CA92}"/>
              </a:ext>
            </a:extLst>
          </xdr:cNvPr>
          <xdr:cNvGrpSpPr/>
        </xdr:nvGrpSpPr>
        <xdr:grpSpPr>
          <a:xfrm>
            <a:off x="0" y="110066"/>
            <a:ext cx="14635691" cy="5861145"/>
            <a:chOff x="117474" y="56170"/>
            <a:chExt cx="14635691" cy="5677586"/>
          </a:xfrm>
        </xdr:grpSpPr>
        <xdr:sp macro="" textlink="">
          <xdr:nvSpPr>
            <xdr:cNvPr id="27" name="Rectangle : coins arrondis 26">
              <a:extLst>
                <a:ext uri="{FF2B5EF4-FFF2-40B4-BE49-F238E27FC236}">
                  <a16:creationId xmlns:a16="http://schemas.microsoft.com/office/drawing/2014/main" id="{16FD2DCF-27DE-402C-AFE7-E07C3FAF0796}"/>
                </a:ext>
              </a:extLst>
            </xdr:cNvPr>
            <xdr:cNvSpPr/>
          </xdr:nvSpPr>
          <xdr:spPr>
            <a:xfrm>
              <a:off x="3890846" y="56170"/>
              <a:ext cx="7107345" cy="920750"/>
            </a:xfrm>
            <a:prstGeom prst="roundRect">
              <a:avLst/>
            </a:prstGeom>
            <a:solidFill>
              <a:srgbClr val="ACE8C3"/>
            </a:solidFill>
            <a:ln>
              <a:noFill/>
            </a:ln>
            <a:effectLst>
              <a:softEdge rad="12700"/>
            </a:effectLst>
            <a:scene3d>
              <a:camera prst="orthographicFront">
                <a:rot lat="0" lon="0" rev="0"/>
              </a:camera>
              <a:lightRig rig="glow" dir="t">
                <a:rot lat="0" lon="0" rev="14100000"/>
              </a:lightRig>
            </a:scene3d>
            <a:sp3d prstMaterial="softEdge">
              <a:bevelT w="127000" prst="convex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4400" b="1">
                  <a:solidFill>
                    <a:srgbClr val="E3ABCB"/>
                  </a:solidFill>
                  <a:effectLst/>
                  <a:latin typeface="Book Antiqua" panose="02040602050305030304" pitchFamily="18" charset="0"/>
                  <a:ea typeface="+mn-ea"/>
                  <a:cs typeface="+mn-cs"/>
                </a:rPr>
                <a:t>SUIVI</a:t>
              </a:r>
              <a:r>
                <a:rPr lang="fr-FR" sz="4400" b="1" baseline="0">
                  <a:solidFill>
                    <a:srgbClr val="E3ABCB"/>
                  </a:solidFill>
                  <a:effectLst/>
                  <a:latin typeface="Book Antiqua" panose="02040602050305030304" pitchFamily="18" charset="0"/>
                  <a:ea typeface="+mn-ea"/>
                  <a:cs typeface="+mn-cs"/>
                </a:rPr>
                <a:t> HACCP</a:t>
              </a:r>
              <a:endParaRPr lang="fr-FR" sz="1050">
                <a:solidFill>
                  <a:srgbClr val="E3ABCB"/>
                </a:solidFill>
                <a:latin typeface="Book Antiqua" panose="02040602050305030304" pitchFamily="18" charset="0"/>
              </a:endParaRPr>
            </a:p>
          </xdr:txBody>
        </xdr:sp>
        <xdr:grpSp>
          <xdr:nvGrpSpPr>
            <xdr:cNvPr id="9" name="Groupe 8">
              <a:extLst>
                <a:ext uri="{FF2B5EF4-FFF2-40B4-BE49-F238E27FC236}">
                  <a16:creationId xmlns:a16="http://schemas.microsoft.com/office/drawing/2014/main" id="{CA5D4D23-50A8-4807-AED4-ED6D081474C0}"/>
                </a:ext>
              </a:extLst>
            </xdr:cNvPr>
            <xdr:cNvGrpSpPr/>
          </xdr:nvGrpSpPr>
          <xdr:grpSpPr>
            <a:xfrm>
              <a:off x="117474" y="1038991"/>
              <a:ext cx="14635691" cy="4694765"/>
              <a:chOff x="117474" y="1038991"/>
              <a:chExt cx="14635691" cy="4694765"/>
            </a:xfrm>
          </xdr:grpSpPr>
          <xdr:pic>
            <xdr:nvPicPr>
              <xdr:cNvPr id="59" name="Image 58">
                <a:extLst>
                  <a:ext uri="{FF2B5EF4-FFF2-40B4-BE49-F238E27FC236}">
                    <a16:creationId xmlns:a16="http://schemas.microsoft.com/office/drawing/2014/main" id="{EBAD6799-4405-460D-B7EE-5B19EDBA545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alphaModFix amt="35000"/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058399" y="1038991"/>
                <a:ext cx="4694766" cy="4694765"/>
              </a:xfrm>
              <a:prstGeom prst="roundRect">
                <a:avLst>
                  <a:gd name="adj" fmla="val 8594"/>
                </a:avLst>
              </a:prstGeom>
              <a:solidFill>
                <a:srgbClr val="FFFFFF">
                  <a:shade val="85000"/>
                </a:srgbClr>
              </a:solidFill>
              <a:ln>
                <a:noFill/>
              </a:ln>
              <a:effectLst>
                <a:reflection blurRad="12700" stA="38000" endPos="28000" dist="5000" dir="5400000" sy="-100000" algn="bl" rotWithShape="0"/>
                <a:softEdge rad="127000"/>
              </a:effectLst>
            </xdr:spPr>
          </xdr:pic>
          <xdr:pic>
            <xdr:nvPicPr>
              <xdr:cNvPr id="30" name="Image 29">
                <a:extLst>
                  <a:ext uri="{FF2B5EF4-FFF2-40B4-BE49-F238E27FC236}">
                    <a16:creationId xmlns:a16="http://schemas.microsoft.com/office/drawing/2014/main" id="{686721C9-AD9F-4016-840C-BD0F6A93E348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3">
                <a:alphaModFix amt="35000"/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3846" r="4385"/>
              <a:stretch/>
            </xdr:blipFill>
            <xdr:spPr>
              <a:xfrm>
                <a:off x="5053542" y="1046873"/>
                <a:ext cx="4910667" cy="2995961"/>
              </a:xfrm>
              <a:prstGeom prst="roundRect">
                <a:avLst>
                  <a:gd name="adj" fmla="val 8594"/>
                </a:avLst>
              </a:prstGeom>
              <a:solidFill>
                <a:srgbClr val="FFFFFF">
                  <a:shade val="85000"/>
                </a:srgbClr>
              </a:solidFill>
              <a:ln>
                <a:noFill/>
              </a:ln>
              <a:effectLst>
                <a:reflection blurRad="12700" stA="38000" endPos="28000" dist="5000" dir="5400000" sy="-100000" algn="bl" rotWithShape="0"/>
                <a:softEdge rad="127000"/>
              </a:effectLst>
            </xdr:spPr>
          </xdr:pic>
          <xdr:grpSp>
            <xdr:nvGrpSpPr>
              <xdr:cNvPr id="2" name="Groupe 1">
                <a:extLst>
                  <a:ext uri="{FF2B5EF4-FFF2-40B4-BE49-F238E27FC236}">
                    <a16:creationId xmlns:a16="http://schemas.microsoft.com/office/drawing/2014/main" id="{770E12E1-379B-413A-B9B1-83EAFD1D20D0}"/>
                  </a:ext>
                </a:extLst>
              </xdr:cNvPr>
              <xdr:cNvGrpSpPr/>
            </xdr:nvGrpSpPr>
            <xdr:grpSpPr>
              <a:xfrm>
                <a:off x="117474" y="1047750"/>
                <a:ext cx="4905375" cy="4114800"/>
                <a:chOff x="1501590" y="0"/>
                <a:chExt cx="1703294" cy="1136915"/>
              </a:xfrm>
            </xdr:grpSpPr>
            <xdr:pic>
              <xdr:nvPicPr>
                <xdr:cNvPr id="3" name="Image 2" descr="Pipette versant une solution verte dans un tube à essai">
                  <a:extLst>
                    <a:ext uri="{FF2B5EF4-FFF2-40B4-BE49-F238E27FC236}">
                      <a16:creationId xmlns:a16="http://schemas.microsoft.com/office/drawing/2014/main" id="{7C80C663-856E-40F5-BDAD-DB1D11E4A564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4" cstate="print">
                  <a:alphaModFix amt="50000"/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501590" y="0"/>
                  <a:ext cx="1703294" cy="1136915"/>
                </a:xfrm>
                <a:prstGeom prst="roundRect">
                  <a:avLst>
                    <a:gd name="adj" fmla="val 8594"/>
                  </a:avLst>
                </a:prstGeom>
                <a:solidFill>
                  <a:srgbClr val="FFFFFF">
                    <a:shade val="85000"/>
                  </a:srgbClr>
                </a:solidFill>
                <a:ln>
                  <a:noFill/>
                </a:ln>
                <a:effectLst>
                  <a:reflection blurRad="12700" stA="38000" endPos="28000" dist="5000" dir="5400000" sy="-100000" algn="bl" rotWithShape="0"/>
                  <a:softEdge rad="127000"/>
                </a:effectLst>
              </xdr:spPr>
            </xdr:pic>
            <xdr:sp macro="" textlink="">
              <xdr:nvSpPr>
                <xdr:cNvPr id="4" name="ZoneTexte 3">
                  <a:extLst>
                    <a:ext uri="{FF2B5EF4-FFF2-40B4-BE49-F238E27FC236}">
                      <a16:creationId xmlns:a16="http://schemas.microsoft.com/office/drawing/2014/main" id="{44C038B5-2677-42E5-B11A-BDA425DADDC1}"/>
                    </a:ext>
                  </a:extLst>
                </xdr:cNvPr>
                <xdr:cNvSpPr txBox="1"/>
              </xdr:nvSpPr>
              <xdr:spPr>
                <a:xfrm>
                  <a:off x="1549175" y="18423"/>
                  <a:ext cx="1613647" cy="20015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2800">
                      <a:solidFill>
                        <a:schemeClr val="tx2">
                          <a:lumMod val="50000"/>
                        </a:schemeClr>
                      </a:solidFill>
                      <a:latin typeface="Book Antiqua" panose="02040602050305030304" pitchFamily="18" charset="0"/>
                    </a:rPr>
                    <a:t>SUIVI</a:t>
                  </a:r>
                  <a:r>
                    <a:rPr lang="fr-FR" sz="2800" baseline="0">
                      <a:solidFill>
                        <a:schemeClr val="tx2">
                          <a:lumMod val="50000"/>
                        </a:schemeClr>
                      </a:solidFill>
                      <a:latin typeface="Book Antiqua" panose="02040602050305030304" pitchFamily="18" charset="0"/>
                    </a:rPr>
                    <a:t> DES ANALYSES</a:t>
                  </a:r>
                  <a:endParaRPr lang="fr-FR" sz="2800">
                    <a:solidFill>
                      <a:schemeClr val="tx2">
                        <a:lumMod val="50000"/>
                      </a:schemeClr>
                    </a:solidFill>
                    <a:latin typeface="Book Antiqua" panose="02040602050305030304" pitchFamily="18" charset="0"/>
                  </a:endParaRPr>
                </a:p>
              </xdr:txBody>
            </xdr:sp>
          </xdr:grpSp>
        </xdr:grpSp>
      </xdr:grpSp>
      <xdr:grpSp>
        <xdr:nvGrpSpPr>
          <xdr:cNvPr id="57" name="Groupe 56">
            <a:extLst>
              <a:ext uri="{FF2B5EF4-FFF2-40B4-BE49-F238E27FC236}">
                <a16:creationId xmlns:a16="http://schemas.microsoft.com/office/drawing/2014/main" id="{91AF2553-5C52-46AA-B648-AE21DA9B7716}"/>
              </a:ext>
            </a:extLst>
          </xdr:cNvPr>
          <xdr:cNvGrpSpPr/>
        </xdr:nvGrpSpPr>
        <xdr:grpSpPr>
          <a:xfrm>
            <a:off x="5205942" y="4207097"/>
            <a:ext cx="4720165" cy="2956728"/>
            <a:chOff x="19546359" y="2107024"/>
            <a:chExt cx="4720165" cy="2961334"/>
          </a:xfrm>
        </xdr:grpSpPr>
        <xdr:pic>
          <xdr:nvPicPr>
            <xdr:cNvPr id="45" name="Image 44" descr="Contrôles de qualité d'un lait - Annale corrigée, ancien programme | Annabac">
              <a:extLst>
                <a:ext uri="{FF2B5EF4-FFF2-40B4-BE49-F238E27FC236}">
                  <a16:creationId xmlns:a16="http://schemas.microsoft.com/office/drawing/2014/main" id="{09C24B4E-E2A3-4C09-B1D5-350E3B8AEBD3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5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9715691" y="2107024"/>
              <a:ext cx="4550833" cy="2961334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grpSp>
          <xdr:nvGrpSpPr>
            <xdr:cNvPr id="44" name="Groupe 43">
              <a:extLst>
                <a:ext uri="{FF2B5EF4-FFF2-40B4-BE49-F238E27FC236}">
                  <a16:creationId xmlns:a16="http://schemas.microsoft.com/office/drawing/2014/main" id="{655511A8-5C93-44CD-8F6E-E51842FBC3EA}"/>
                </a:ext>
              </a:extLst>
            </xdr:cNvPr>
            <xdr:cNvGrpSpPr/>
          </xdr:nvGrpSpPr>
          <xdr:grpSpPr>
            <a:xfrm>
              <a:off x="20553894" y="3064054"/>
              <a:ext cx="1362074" cy="1394862"/>
              <a:chOff x="19061643" y="3857805"/>
              <a:chExt cx="1362074" cy="1394862"/>
            </a:xfrm>
          </xdr:grpSpPr>
          <xdr:pic macro="[0]!OuvreformulairedesaisieDOR">
            <xdr:nvPicPr>
              <xdr:cNvPr id="47" name="Image 46">
                <a:extLst>
                  <a:ext uri="{FF2B5EF4-FFF2-40B4-BE49-F238E27FC236}">
                    <a16:creationId xmlns:a16="http://schemas.microsoft.com/office/drawing/2014/main" id="{9DC60A64-CDB8-43C6-AA9A-82E9536C8EA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" cstate="print">
                <a:duotone>
                  <a:schemeClr val="accent6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9061643" y="3857805"/>
                <a:ext cx="1257299" cy="1362424"/>
              </a:xfrm>
              <a:prstGeom prst="rect">
                <a:avLst/>
              </a:prstGeom>
              <a:ln>
                <a:noFill/>
              </a:ln>
              <a:scene3d>
                <a:camera prst="orthographicFront"/>
                <a:lightRig rig="threePt" dir="t"/>
              </a:scene3d>
              <a:sp3d>
                <a:bevelT/>
              </a:sp3d>
            </xdr:spPr>
          </xdr:pic>
          <xdr:sp macro="[0]!OuvreformulairedesaisieDOR" textlink="">
            <xdr:nvSpPr>
              <xdr:cNvPr id="48" name="ZoneTexte 47">
                <a:extLst>
                  <a:ext uri="{FF2B5EF4-FFF2-40B4-BE49-F238E27FC236}">
                    <a16:creationId xmlns:a16="http://schemas.microsoft.com/office/drawing/2014/main" id="{075A7843-81D2-4A60-9D12-8B7B98D9961E}"/>
                  </a:ext>
                </a:extLst>
              </xdr:cNvPr>
              <xdr:cNvSpPr txBox="1"/>
            </xdr:nvSpPr>
            <xdr:spPr>
              <a:xfrm>
                <a:off x="19316096" y="4571455"/>
                <a:ext cx="1107621" cy="681212"/>
              </a:xfrm>
              <a:prstGeom prst="rect">
                <a:avLst/>
              </a:prstGeom>
              <a:noFill/>
              <a:ln w="9525" cmpd="sng">
                <a:noFill/>
              </a:ln>
              <a:scene3d>
                <a:camera prst="orthographicFront"/>
                <a:lightRig rig="threePt" dir="t"/>
              </a:scene3d>
              <a:sp3d>
                <a:bevelT/>
              </a:sp3d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fr-FR" sz="3200" b="1">
                    <a:solidFill>
                      <a:schemeClr val="tx2">
                        <a:lumMod val="50000"/>
                      </a:schemeClr>
                    </a:solidFill>
                    <a:latin typeface="Chiller" panose="04020404031007020602" pitchFamily="82" charset="0"/>
                  </a:rPr>
                  <a:t>Saisie</a:t>
                </a:r>
              </a:p>
            </xdr:txBody>
          </xdr:sp>
        </xdr:grpSp>
        <xdr:grpSp>
          <xdr:nvGrpSpPr>
            <xdr:cNvPr id="33" name="Groupe 32">
              <a:extLst>
                <a:ext uri="{FF2B5EF4-FFF2-40B4-BE49-F238E27FC236}">
                  <a16:creationId xmlns:a16="http://schemas.microsoft.com/office/drawing/2014/main" id="{99AE1948-03BE-4BA9-9F1D-C35A398435E2}"/>
                </a:ext>
              </a:extLst>
            </xdr:cNvPr>
            <xdr:cNvGrpSpPr/>
          </xdr:nvGrpSpPr>
          <xdr:grpSpPr>
            <a:xfrm>
              <a:off x="22096944" y="3059982"/>
              <a:ext cx="1330324" cy="1405445"/>
              <a:chOff x="20604693" y="3853733"/>
              <a:chExt cx="1330324" cy="1405445"/>
            </a:xfrm>
          </xdr:grpSpPr>
          <xdr:pic macro="[0]!Ouvreformulairevisualiserdor">
            <xdr:nvPicPr>
              <xdr:cNvPr id="50" name="Image 49">
                <a:extLst>
                  <a:ext uri="{FF2B5EF4-FFF2-40B4-BE49-F238E27FC236}">
                    <a16:creationId xmlns:a16="http://schemas.microsoft.com/office/drawing/2014/main" id="{E37B6D8B-43DD-4260-A3F4-94319BDE07A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" cstate="print">
                <a:duotone>
                  <a:schemeClr val="accent6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0604693" y="3853733"/>
                <a:ext cx="1257299" cy="1362424"/>
              </a:xfrm>
              <a:prstGeom prst="rect">
                <a:avLst/>
              </a:prstGeom>
              <a:ln>
                <a:noFill/>
              </a:ln>
              <a:scene3d>
                <a:camera prst="orthographicFront"/>
                <a:lightRig rig="threePt" dir="t"/>
              </a:scene3d>
              <a:sp3d>
                <a:bevelT/>
              </a:sp3d>
            </xdr:spPr>
          </xdr:pic>
          <xdr:sp macro="[0]!Ouvreformulairevisualiserdor" textlink="">
            <xdr:nvSpPr>
              <xdr:cNvPr id="51" name="ZoneTexte 50">
                <a:extLst>
                  <a:ext uri="{FF2B5EF4-FFF2-40B4-BE49-F238E27FC236}">
                    <a16:creationId xmlns:a16="http://schemas.microsoft.com/office/drawing/2014/main" id="{8A2DD491-3245-4D9A-82E3-8D807E3A46CD}"/>
                  </a:ext>
                </a:extLst>
              </xdr:cNvPr>
              <xdr:cNvSpPr txBox="1"/>
            </xdr:nvSpPr>
            <xdr:spPr>
              <a:xfrm>
                <a:off x="20827396" y="4577966"/>
                <a:ext cx="1107621" cy="681212"/>
              </a:xfrm>
              <a:prstGeom prst="rect">
                <a:avLst/>
              </a:prstGeom>
              <a:noFill/>
              <a:ln w="9525" cmpd="sng">
                <a:noFill/>
              </a:ln>
              <a:scene3d>
                <a:camera prst="orthographicFront"/>
                <a:lightRig rig="threePt" dir="t"/>
              </a:scene3d>
              <a:sp3d>
                <a:bevelT/>
              </a:sp3d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fr-FR" sz="2400" b="1">
                    <a:solidFill>
                      <a:schemeClr val="tx2">
                        <a:lumMod val="50000"/>
                      </a:schemeClr>
                    </a:solidFill>
                    <a:latin typeface="Chiller" panose="04020404031007020602" pitchFamily="82" charset="0"/>
                  </a:rPr>
                  <a:t>Visualiser</a:t>
                </a:r>
              </a:p>
            </xdr:txBody>
          </xdr:sp>
        </xdr:grpSp>
        <xdr:sp macro="" textlink="">
          <xdr:nvSpPr>
            <xdr:cNvPr id="56" name="ZoneTexte 55">
              <a:extLst>
                <a:ext uri="{FF2B5EF4-FFF2-40B4-BE49-F238E27FC236}">
                  <a16:creationId xmlns:a16="http://schemas.microsoft.com/office/drawing/2014/main" id="{08C189D6-6E3C-4973-9108-60CCCC76E84B}"/>
                </a:ext>
              </a:extLst>
            </xdr:cNvPr>
            <xdr:cNvSpPr txBox="1"/>
          </xdr:nvSpPr>
          <xdr:spPr>
            <a:xfrm>
              <a:off x="19546359" y="2234259"/>
              <a:ext cx="4647198" cy="74277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2800">
                  <a:solidFill>
                    <a:schemeClr val="tx2">
                      <a:lumMod val="50000"/>
                    </a:schemeClr>
                  </a:solidFill>
                  <a:latin typeface="Book Antiqua" panose="02040602050305030304" pitchFamily="18" charset="0"/>
                </a:rPr>
                <a:t>AUTRE CONTROLE</a:t>
              </a:r>
            </a:p>
          </xdr:txBody>
        </xdr:sp>
      </xdr:grpSp>
    </xdr:grpSp>
    <xdr:clientData/>
  </xdr:twoCellAnchor>
  <xdr:twoCellAnchor>
    <xdr:from>
      <xdr:col>0</xdr:col>
      <xdr:colOff>294218</xdr:colOff>
      <xdr:row>16</xdr:row>
      <xdr:rowOff>18614</xdr:rowOff>
    </xdr:from>
    <xdr:to>
      <xdr:col>2</xdr:col>
      <xdr:colOff>132292</xdr:colOff>
      <xdr:row>23</xdr:row>
      <xdr:rowOff>45508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1D83BBAE-8E08-46BC-9E97-E2BCA181DF5B}"/>
            </a:ext>
          </a:extLst>
        </xdr:cNvPr>
        <xdr:cNvGrpSpPr/>
      </xdr:nvGrpSpPr>
      <xdr:grpSpPr>
        <a:xfrm>
          <a:off x="294218" y="3117414"/>
          <a:ext cx="1412874" cy="1271494"/>
          <a:chOff x="3372971" y="100853"/>
          <a:chExt cx="1019735" cy="963705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pic macro="[0]!OuvreformulairedesaisieAN">
        <xdr:nvPicPr>
          <xdr:cNvPr id="38" name="Image 37">
            <a:extLst>
              <a:ext uri="{FF2B5EF4-FFF2-40B4-BE49-F238E27FC236}">
                <a16:creationId xmlns:a16="http://schemas.microsoft.com/office/drawing/2014/main" id="{BB44A223-9C5A-4F3F-8E53-7CF583F308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72971" y="100853"/>
            <a:ext cx="941294" cy="941294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</xdr:pic>
      <xdr:sp macro="[0]!OuvreformulairedesaisieAN" textlink="">
        <xdr:nvSpPr>
          <xdr:cNvPr id="39" name="ZoneTexte 38">
            <a:extLst>
              <a:ext uri="{FF2B5EF4-FFF2-40B4-BE49-F238E27FC236}">
                <a16:creationId xmlns:a16="http://schemas.microsoft.com/office/drawing/2014/main" id="{9FC8BF6D-7566-4713-BE3B-43C9D462C564}"/>
              </a:ext>
            </a:extLst>
          </xdr:cNvPr>
          <xdr:cNvSpPr txBox="1"/>
        </xdr:nvSpPr>
        <xdr:spPr>
          <a:xfrm>
            <a:off x="3563471" y="593911"/>
            <a:ext cx="829235" cy="470647"/>
          </a:xfrm>
          <a:prstGeom prst="rect">
            <a:avLst/>
          </a:prstGeom>
          <a:noFill/>
          <a:ln w="9525" cmpd="sng"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3200" b="1">
                <a:solidFill>
                  <a:schemeClr val="tx2">
                    <a:lumMod val="50000"/>
                  </a:schemeClr>
                </a:solidFill>
                <a:latin typeface="Chiller" panose="04020404031007020602" pitchFamily="82" charset="0"/>
              </a:rPr>
              <a:t>Saisie</a:t>
            </a:r>
          </a:p>
        </xdr:txBody>
      </xdr:sp>
    </xdr:grpSp>
    <xdr:clientData/>
  </xdr:twoCellAnchor>
  <xdr:twoCellAnchor>
    <xdr:from>
      <xdr:col>2</xdr:col>
      <xdr:colOff>281518</xdr:colOff>
      <xdr:row>16</xdr:row>
      <xdr:rowOff>24964</xdr:rowOff>
    </xdr:from>
    <xdr:to>
      <xdr:col>4</xdr:col>
      <xdr:colOff>119592</xdr:colOff>
      <xdr:row>23</xdr:row>
      <xdr:rowOff>51858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35993274-45A6-49F3-9910-64DC4B55D696}"/>
            </a:ext>
          </a:extLst>
        </xdr:cNvPr>
        <xdr:cNvGrpSpPr/>
      </xdr:nvGrpSpPr>
      <xdr:grpSpPr>
        <a:xfrm>
          <a:off x="1856318" y="3123764"/>
          <a:ext cx="1412874" cy="1271494"/>
          <a:chOff x="3372971" y="100853"/>
          <a:chExt cx="1019735" cy="963705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pic macro="[0]!Ouvreformulairevisualiseran">
        <xdr:nvPicPr>
          <xdr:cNvPr id="6" name="Image 5">
            <a:extLst>
              <a:ext uri="{FF2B5EF4-FFF2-40B4-BE49-F238E27FC236}">
                <a16:creationId xmlns:a16="http://schemas.microsoft.com/office/drawing/2014/main" id="{360735EC-3E96-4803-B2F4-86C48E5359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72971" y="100853"/>
            <a:ext cx="941294" cy="941294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</xdr:pic>
      <xdr:sp macro="[0]!Ouvreformulairevisualiseran" textlink="">
        <xdr:nvSpPr>
          <xdr:cNvPr id="7" name="ZoneTexte 6">
            <a:extLst>
              <a:ext uri="{FF2B5EF4-FFF2-40B4-BE49-F238E27FC236}">
                <a16:creationId xmlns:a16="http://schemas.microsoft.com/office/drawing/2014/main" id="{63267014-DB4F-4E4C-9CCB-ED45A83A08FB}"/>
              </a:ext>
            </a:extLst>
          </xdr:cNvPr>
          <xdr:cNvSpPr txBox="1"/>
        </xdr:nvSpPr>
        <xdr:spPr>
          <a:xfrm>
            <a:off x="3563471" y="593911"/>
            <a:ext cx="829235" cy="470647"/>
          </a:xfrm>
          <a:prstGeom prst="rect">
            <a:avLst/>
          </a:prstGeom>
          <a:noFill/>
          <a:ln w="9525" cmpd="sng"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400" b="1">
                <a:solidFill>
                  <a:schemeClr val="tx2">
                    <a:lumMod val="50000"/>
                  </a:schemeClr>
                </a:solidFill>
                <a:latin typeface="Chiller" panose="04020404031007020602" pitchFamily="82" charset="0"/>
              </a:rPr>
              <a:t>Visualiser</a:t>
            </a:r>
          </a:p>
        </xdr:txBody>
      </xdr:sp>
    </xdr:grpSp>
    <xdr:clientData/>
  </xdr:twoCellAnchor>
  <xdr:twoCellAnchor>
    <xdr:from>
      <xdr:col>8</xdr:col>
      <xdr:colOff>88901</xdr:colOff>
      <xdr:row>10</xdr:row>
      <xdr:rowOff>77882</xdr:rowOff>
    </xdr:from>
    <xdr:to>
      <xdr:col>9</xdr:col>
      <xdr:colOff>688975</xdr:colOff>
      <xdr:row>17</xdr:row>
      <xdr:rowOff>104776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FF8E5401-18CF-4F97-9536-1AD44650313D}"/>
            </a:ext>
          </a:extLst>
        </xdr:cNvPr>
        <xdr:cNvGrpSpPr/>
      </xdr:nvGrpSpPr>
      <xdr:grpSpPr>
        <a:xfrm>
          <a:off x="6388101" y="2109882"/>
          <a:ext cx="1387474" cy="1271494"/>
          <a:chOff x="3372971" y="100853"/>
          <a:chExt cx="1019735" cy="963705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pic macro="[0]!OuvreformulairedesaisieNC">
        <xdr:nvPicPr>
          <xdr:cNvPr id="12" name="Image 11">
            <a:extLst>
              <a:ext uri="{FF2B5EF4-FFF2-40B4-BE49-F238E27FC236}">
                <a16:creationId xmlns:a16="http://schemas.microsoft.com/office/drawing/2014/main" id="{4B1A2AC1-0068-47DA-A2E3-3A0F3C8FBA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72971" y="100853"/>
            <a:ext cx="941294" cy="941294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</xdr:pic>
      <xdr:sp macro="[0]!OuvreformulairedesaisieNC" textlink="">
        <xdr:nvSpPr>
          <xdr:cNvPr id="13" name="ZoneTexte 12">
            <a:extLst>
              <a:ext uri="{FF2B5EF4-FFF2-40B4-BE49-F238E27FC236}">
                <a16:creationId xmlns:a16="http://schemas.microsoft.com/office/drawing/2014/main" id="{6C8723B5-9C6A-450C-BE0C-78BD9169D64A}"/>
              </a:ext>
            </a:extLst>
          </xdr:cNvPr>
          <xdr:cNvSpPr txBox="1"/>
        </xdr:nvSpPr>
        <xdr:spPr>
          <a:xfrm>
            <a:off x="3563471" y="593911"/>
            <a:ext cx="829235" cy="470647"/>
          </a:xfrm>
          <a:prstGeom prst="rect">
            <a:avLst/>
          </a:prstGeom>
          <a:noFill/>
          <a:ln w="9525" cmpd="sng"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3200" b="1">
                <a:solidFill>
                  <a:schemeClr val="tx2">
                    <a:lumMod val="50000"/>
                  </a:schemeClr>
                </a:solidFill>
                <a:latin typeface="Chiller" panose="04020404031007020602" pitchFamily="82" charset="0"/>
              </a:rPr>
              <a:t>Saisie</a:t>
            </a:r>
          </a:p>
        </xdr:txBody>
      </xdr:sp>
    </xdr:grpSp>
    <xdr:clientData/>
  </xdr:twoCellAnchor>
  <xdr:twoCellAnchor>
    <xdr:from>
      <xdr:col>10</xdr:col>
      <xdr:colOff>7410</xdr:colOff>
      <xdr:row>10</xdr:row>
      <xdr:rowOff>82115</xdr:rowOff>
    </xdr:from>
    <xdr:to>
      <xdr:col>11</xdr:col>
      <xdr:colOff>607484</xdr:colOff>
      <xdr:row>17</xdr:row>
      <xdr:rowOff>109009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CE045233-24AD-442E-9C9C-4E7133461AF8}"/>
            </a:ext>
          </a:extLst>
        </xdr:cNvPr>
        <xdr:cNvGrpSpPr/>
      </xdr:nvGrpSpPr>
      <xdr:grpSpPr>
        <a:xfrm>
          <a:off x="7881410" y="2114115"/>
          <a:ext cx="1387474" cy="1271494"/>
          <a:chOff x="3372971" y="100853"/>
          <a:chExt cx="1019735" cy="963705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pic macro="[0]!Ouvreformulairevisualisernc">
        <xdr:nvPicPr>
          <xdr:cNvPr id="35" name="Image 34">
            <a:extLst>
              <a:ext uri="{FF2B5EF4-FFF2-40B4-BE49-F238E27FC236}">
                <a16:creationId xmlns:a16="http://schemas.microsoft.com/office/drawing/2014/main" id="{464FBCEA-1F9D-4123-BFB4-FBAA611968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72971" y="100853"/>
            <a:ext cx="941294" cy="941294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</xdr:pic>
      <xdr:sp macro="[0]!Ouvreformulairevisualisernc" textlink="">
        <xdr:nvSpPr>
          <xdr:cNvPr id="36" name="ZoneTexte 35">
            <a:extLst>
              <a:ext uri="{FF2B5EF4-FFF2-40B4-BE49-F238E27FC236}">
                <a16:creationId xmlns:a16="http://schemas.microsoft.com/office/drawing/2014/main" id="{4F9AB86B-E088-47E7-A3AF-749A9D781F59}"/>
              </a:ext>
            </a:extLst>
          </xdr:cNvPr>
          <xdr:cNvSpPr txBox="1"/>
        </xdr:nvSpPr>
        <xdr:spPr>
          <a:xfrm>
            <a:off x="3563471" y="593911"/>
            <a:ext cx="829235" cy="470647"/>
          </a:xfrm>
          <a:prstGeom prst="rect">
            <a:avLst/>
          </a:prstGeom>
          <a:noFill/>
          <a:ln w="9525" cmpd="sng"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400" b="1">
                <a:solidFill>
                  <a:schemeClr val="tx2">
                    <a:lumMod val="50000"/>
                  </a:schemeClr>
                </a:solidFill>
                <a:latin typeface="Chiller" panose="04020404031007020602" pitchFamily="82" charset="0"/>
              </a:rPr>
              <a:t>Visualiser</a:t>
            </a:r>
          </a:p>
        </xdr:txBody>
      </xdr:sp>
    </xdr:grpSp>
    <xdr:clientData/>
  </xdr:twoCellAnchor>
  <xdr:twoCellAnchor>
    <xdr:from>
      <xdr:col>16</xdr:col>
      <xdr:colOff>285750</xdr:colOff>
      <xdr:row>15</xdr:row>
      <xdr:rowOff>1679</xdr:rowOff>
    </xdr:from>
    <xdr:to>
      <xdr:col>18</xdr:col>
      <xdr:colOff>123824</xdr:colOff>
      <xdr:row>22</xdr:row>
      <xdr:rowOff>28573</xdr:rowOff>
    </xdr:to>
    <xdr:grpSp>
      <xdr:nvGrpSpPr>
        <xdr:cNvPr id="80" name="Groupe 79">
          <a:extLst>
            <a:ext uri="{FF2B5EF4-FFF2-40B4-BE49-F238E27FC236}">
              <a16:creationId xmlns:a16="http://schemas.microsoft.com/office/drawing/2014/main" id="{F34AB0B7-0B7F-437F-9F47-C7DE5B1E34CD}"/>
            </a:ext>
          </a:extLst>
        </xdr:cNvPr>
        <xdr:cNvGrpSpPr/>
      </xdr:nvGrpSpPr>
      <xdr:grpSpPr>
        <a:xfrm>
          <a:off x="12884150" y="2922679"/>
          <a:ext cx="1412874" cy="1271494"/>
          <a:chOff x="3372971" y="100853"/>
          <a:chExt cx="1019735" cy="963705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pic macro="[0]!Ouvreformulairevisualiseral">
        <xdr:nvPicPr>
          <xdr:cNvPr id="81" name="Image 80">
            <a:extLst>
              <a:ext uri="{FF2B5EF4-FFF2-40B4-BE49-F238E27FC236}">
                <a16:creationId xmlns:a16="http://schemas.microsoft.com/office/drawing/2014/main" id="{34F925E9-427F-4421-AE6C-80AF537FDC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72971" y="100853"/>
            <a:ext cx="941294" cy="941294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</xdr:pic>
      <xdr:sp macro="[0]!Ouvreformulairevisualiseral" textlink="">
        <xdr:nvSpPr>
          <xdr:cNvPr id="82" name="ZoneTexte 81">
            <a:extLst>
              <a:ext uri="{FF2B5EF4-FFF2-40B4-BE49-F238E27FC236}">
                <a16:creationId xmlns:a16="http://schemas.microsoft.com/office/drawing/2014/main" id="{893DA9AF-67EF-4C75-8439-1EF2342A78B7}"/>
              </a:ext>
            </a:extLst>
          </xdr:cNvPr>
          <xdr:cNvSpPr txBox="1"/>
        </xdr:nvSpPr>
        <xdr:spPr>
          <a:xfrm>
            <a:off x="3563471" y="593911"/>
            <a:ext cx="829235" cy="470647"/>
          </a:xfrm>
          <a:prstGeom prst="rect">
            <a:avLst/>
          </a:prstGeom>
          <a:noFill/>
          <a:ln w="9525" cmpd="sng"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400" b="1">
                <a:solidFill>
                  <a:schemeClr val="tx2">
                    <a:lumMod val="50000"/>
                  </a:schemeClr>
                </a:solidFill>
                <a:latin typeface="Chiller" panose="04020404031007020602" pitchFamily="82" charset="0"/>
              </a:rPr>
              <a:t>Visualiser</a:t>
            </a:r>
          </a:p>
        </xdr:txBody>
      </xdr:sp>
    </xdr:grpSp>
    <xdr:clientData/>
  </xdr:twoCellAnchor>
  <xdr:twoCellAnchor>
    <xdr:from>
      <xdr:col>14</xdr:col>
      <xdr:colOff>361950</xdr:colOff>
      <xdr:row>15</xdr:row>
      <xdr:rowOff>1679</xdr:rowOff>
    </xdr:from>
    <xdr:to>
      <xdr:col>16</xdr:col>
      <xdr:colOff>200024</xdr:colOff>
      <xdr:row>22</xdr:row>
      <xdr:rowOff>28573</xdr:rowOff>
    </xdr:to>
    <xdr:grpSp>
      <xdr:nvGrpSpPr>
        <xdr:cNvPr id="83" name="Groupe 82">
          <a:extLst>
            <a:ext uri="{FF2B5EF4-FFF2-40B4-BE49-F238E27FC236}">
              <a16:creationId xmlns:a16="http://schemas.microsoft.com/office/drawing/2014/main" id="{1F51DA53-31A2-421F-8777-20C18248187F}"/>
            </a:ext>
          </a:extLst>
        </xdr:cNvPr>
        <xdr:cNvGrpSpPr/>
      </xdr:nvGrpSpPr>
      <xdr:grpSpPr>
        <a:xfrm>
          <a:off x="11385550" y="2922679"/>
          <a:ext cx="1412874" cy="1271494"/>
          <a:chOff x="3372971" y="100853"/>
          <a:chExt cx="1019735" cy="963705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pic macro="[0]!OuvreformulairedesaisieAL">
        <xdr:nvPicPr>
          <xdr:cNvPr id="84" name="Image 83">
            <a:extLst>
              <a:ext uri="{FF2B5EF4-FFF2-40B4-BE49-F238E27FC236}">
                <a16:creationId xmlns:a16="http://schemas.microsoft.com/office/drawing/2014/main" id="{537D6A48-1761-4957-BE5C-50BD629CDE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72971" y="100853"/>
            <a:ext cx="941294" cy="941294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</xdr:pic>
      <xdr:sp macro="[0]!OuvreformulairedesaisieAL" textlink="">
        <xdr:nvSpPr>
          <xdr:cNvPr id="85" name="ZoneTexte 84">
            <a:extLst>
              <a:ext uri="{FF2B5EF4-FFF2-40B4-BE49-F238E27FC236}">
                <a16:creationId xmlns:a16="http://schemas.microsoft.com/office/drawing/2014/main" id="{2F7A9004-056E-46B6-81DB-87F104CD0196}"/>
              </a:ext>
            </a:extLst>
          </xdr:cNvPr>
          <xdr:cNvSpPr txBox="1"/>
        </xdr:nvSpPr>
        <xdr:spPr>
          <a:xfrm>
            <a:off x="3563471" y="593911"/>
            <a:ext cx="829235" cy="470647"/>
          </a:xfrm>
          <a:prstGeom prst="rect">
            <a:avLst/>
          </a:prstGeom>
          <a:noFill/>
          <a:ln w="9525" cmpd="sng"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3200" b="1">
                <a:solidFill>
                  <a:schemeClr val="tx2">
                    <a:lumMod val="50000"/>
                  </a:schemeClr>
                </a:solidFill>
                <a:latin typeface="Chiller" panose="04020404031007020602" pitchFamily="82" charset="0"/>
              </a:rPr>
              <a:t>Saisie</a:t>
            </a:r>
          </a:p>
        </xdr:txBody>
      </xdr:sp>
    </xdr:grpSp>
    <xdr:clientData/>
  </xdr:twoCellAnchor>
  <xdr:twoCellAnchor>
    <xdr:from>
      <xdr:col>4</xdr:col>
      <xdr:colOff>222249</xdr:colOff>
      <xdr:row>16</xdr:row>
      <xdr:rowOff>31750</xdr:rowOff>
    </xdr:from>
    <xdr:to>
      <xdr:col>5</xdr:col>
      <xdr:colOff>717548</xdr:colOff>
      <xdr:row>23</xdr:row>
      <xdr:rowOff>95251</xdr:rowOff>
    </xdr:to>
    <xdr:grpSp>
      <xdr:nvGrpSpPr>
        <xdr:cNvPr id="61" name="Groupe 60">
          <a:extLst>
            <a:ext uri="{FF2B5EF4-FFF2-40B4-BE49-F238E27FC236}">
              <a16:creationId xmlns:a16="http://schemas.microsoft.com/office/drawing/2014/main" id="{5FEF6D7E-3F69-49E8-9721-1483DE8E12D0}"/>
            </a:ext>
          </a:extLst>
        </xdr:cNvPr>
        <xdr:cNvGrpSpPr/>
      </xdr:nvGrpSpPr>
      <xdr:grpSpPr>
        <a:xfrm>
          <a:off x="3371849" y="3130550"/>
          <a:ext cx="1282699" cy="1308101"/>
          <a:chOff x="3372971" y="100853"/>
          <a:chExt cx="941294" cy="989637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pic macro="[0]!OuvrirDossierTelechargements">
        <xdr:nvPicPr>
          <xdr:cNvPr id="62" name="Image 61">
            <a:extLst>
              <a:ext uri="{FF2B5EF4-FFF2-40B4-BE49-F238E27FC236}">
                <a16:creationId xmlns:a16="http://schemas.microsoft.com/office/drawing/2014/main" id="{D39EE422-3FE1-4A8A-AB9B-EF2D0C83C5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72971" y="100853"/>
            <a:ext cx="941294" cy="941294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</xdr:pic>
      <xdr:sp macro="[0]!OuvrirDossierTelechargements" textlink="">
        <xdr:nvSpPr>
          <xdr:cNvPr id="63" name="ZoneTexte 62">
            <a:extLst>
              <a:ext uri="{FF2B5EF4-FFF2-40B4-BE49-F238E27FC236}">
                <a16:creationId xmlns:a16="http://schemas.microsoft.com/office/drawing/2014/main" id="{7DF768EB-1DCD-4EAD-9435-049991305E3A}"/>
              </a:ext>
            </a:extLst>
          </xdr:cNvPr>
          <xdr:cNvSpPr txBox="1"/>
        </xdr:nvSpPr>
        <xdr:spPr>
          <a:xfrm>
            <a:off x="3463636" y="112850"/>
            <a:ext cx="829235" cy="977640"/>
          </a:xfrm>
          <a:prstGeom prst="rect">
            <a:avLst/>
          </a:prstGeom>
          <a:noFill/>
          <a:ln w="9525" cmpd="sng"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400" b="1">
                <a:solidFill>
                  <a:schemeClr val="tx2">
                    <a:lumMod val="50000"/>
                  </a:schemeClr>
                </a:solidFill>
                <a:latin typeface="Chiller" panose="04020404031007020602" pitchFamily="82" charset="0"/>
              </a:rPr>
              <a:t>Voir</a:t>
            </a:r>
            <a:r>
              <a:rPr lang="fr-FR" sz="2400" b="1" baseline="0">
                <a:solidFill>
                  <a:schemeClr val="tx2">
                    <a:lumMod val="50000"/>
                  </a:schemeClr>
                </a:solidFill>
                <a:latin typeface="Chiller" panose="04020404031007020602" pitchFamily="82" charset="0"/>
              </a:rPr>
              <a:t> analyses</a:t>
            </a:r>
          </a:p>
          <a:p>
            <a:pPr algn="ctr"/>
            <a:r>
              <a:rPr lang="fr-FR" sz="1000" b="1">
                <a:solidFill>
                  <a:schemeClr val="tx2">
                    <a:lumMod val="50000"/>
                  </a:schemeClr>
                </a:solidFill>
                <a:latin typeface="+mn-lt"/>
              </a:rPr>
              <a:t>(on y affectera le chemin vers vos analyses)</a:t>
            </a:r>
          </a:p>
        </xdr:txBody>
      </xdr:sp>
    </xdr:grpSp>
    <xdr:clientData/>
  </xdr:twoCellAnchor>
  <xdr:twoCellAnchor>
    <xdr:from>
      <xdr:col>6</xdr:col>
      <xdr:colOff>710141</xdr:colOff>
      <xdr:row>5</xdr:row>
      <xdr:rowOff>110066</xdr:rowOff>
    </xdr:from>
    <xdr:to>
      <xdr:col>13</xdr:col>
      <xdr:colOff>23339</xdr:colOff>
      <xdr:row>9</xdr:row>
      <xdr:rowOff>72484</xdr:rowOff>
    </xdr:to>
    <xdr:sp macro="" textlink="">
      <xdr:nvSpPr>
        <xdr:cNvPr id="43" name="ZoneTexte 42">
          <a:extLst>
            <a:ext uri="{FF2B5EF4-FFF2-40B4-BE49-F238E27FC236}">
              <a16:creationId xmlns:a16="http://schemas.microsoft.com/office/drawing/2014/main" id="{1FAF8BD0-49A7-405D-9C51-054FB0746532}"/>
            </a:ext>
          </a:extLst>
        </xdr:cNvPr>
        <xdr:cNvSpPr txBox="1"/>
      </xdr:nvSpPr>
      <xdr:spPr>
        <a:xfrm>
          <a:off x="5282141" y="1284816"/>
          <a:ext cx="4647198" cy="7244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800">
              <a:solidFill>
                <a:schemeClr val="tx2">
                  <a:lumMod val="50000"/>
                </a:schemeClr>
              </a:solidFill>
              <a:latin typeface="Book Antiqua" panose="02040602050305030304" pitchFamily="18" charset="0"/>
            </a:rPr>
            <a:t>SUIVI</a:t>
          </a:r>
          <a:r>
            <a:rPr lang="fr-FR" sz="2800" baseline="0">
              <a:solidFill>
                <a:schemeClr val="tx2">
                  <a:lumMod val="50000"/>
                </a:schemeClr>
              </a:solidFill>
              <a:latin typeface="Book Antiqua" panose="02040602050305030304" pitchFamily="18" charset="0"/>
            </a:rPr>
            <a:t> DES NC</a:t>
          </a:r>
          <a:endParaRPr lang="fr-FR" sz="2800">
            <a:solidFill>
              <a:schemeClr val="tx2">
                <a:lumMod val="50000"/>
              </a:schemeClr>
            </a:solidFill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13</xdr:col>
      <xdr:colOff>132290</xdr:colOff>
      <xdr:row>5</xdr:row>
      <xdr:rowOff>142875</xdr:rowOff>
    </xdr:from>
    <xdr:to>
      <xdr:col>19</xdr:col>
      <xdr:colOff>207488</xdr:colOff>
      <xdr:row>9</xdr:row>
      <xdr:rowOff>105293</xdr:rowOff>
    </xdr:to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9C132E38-5CD8-48C5-B190-0FEE16E57AC9}"/>
            </a:ext>
          </a:extLst>
        </xdr:cNvPr>
        <xdr:cNvSpPr txBox="1"/>
      </xdr:nvSpPr>
      <xdr:spPr>
        <a:xfrm>
          <a:off x="10038290" y="1317625"/>
          <a:ext cx="4647198" cy="7244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800">
              <a:solidFill>
                <a:schemeClr val="tx2">
                  <a:lumMod val="50000"/>
                </a:schemeClr>
              </a:solidFill>
              <a:latin typeface="Book Antiqua" panose="02040602050305030304" pitchFamily="18" charset="0"/>
            </a:rPr>
            <a:t>SUIVI</a:t>
          </a:r>
          <a:r>
            <a:rPr lang="fr-FR" sz="2800" baseline="0">
              <a:solidFill>
                <a:schemeClr val="tx2">
                  <a:lumMod val="50000"/>
                </a:schemeClr>
              </a:solidFill>
              <a:latin typeface="Book Antiqua" panose="02040602050305030304" pitchFamily="18" charset="0"/>
            </a:rPr>
            <a:t> DES ALLERGENES</a:t>
          </a:r>
          <a:endParaRPr lang="fr-FR" sz="2800">
            <a:solidFill>
              <a:schemeClr val="tx2">
                <a:lumMod val="50000"/>
              </a:schemeClr>
            </a:solidFill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0</xdr:col>
      <xdr:colOff>158750</xdr:colOff>
      <xdr:row>26</xdr:row>
      <xdr:rowOff>148167</xdr:rowOff>
    </xdr:from>
    <xdr:to>
      <xdr:col>6</xdr:col>
      <xdr:colOff>423333</xdr:colOff>
      <xdr:row>37</xdr:row>
      <xdr:rowOff>63500</xdr:rowOff>
    </xdr:to>
    <xdr:sp macro="" textlink="">
      <xdr:nvSpPr>
        <xdr:cNvPr id="20" name="Rectangle : coins arrondis 19">
          <a:extLst>
            <a:ext uri="{FF2B5EF4-FFF2-40B4-BE49-F238E27FC236}">
              <a16:creationId xmlns:a16="http://schemas.microsoft.com/office/drawing/2014/main" id="{C3F896F2-80E1-471C-9A10-BE7F0CF2B8E0}"/>
            </a:ext>
          </a:extLst>
        </xdr:cNvPr>
        <xdr:cNvSpPr/>
      </xdr:nvSpPr>
      <xdr:spPr>
        <a:xfrm>
          <a:off x="158750" y="5323417"/>
          <a:ext cx="4836583" cy="2010833"/>
        </a:xfrm>
        <a:prstGeom prst="roundRect">
          <a:avLst/>
        </a:prstGeom>
        <a:gradFill>
          <a:gsLst>
            <a:gs pos="0">
              <a:srgbClr val="E3ABCB"/>
            </a:gs>
            <a:gs pos="74000">
              <a:srgbClr val="ACE8C3"/>
            </a:gs>
            <a:gs pos="83000">
              <a:srgbClr val="E3ABCB"/>
            </a:gs>
            <a:gs pos="100000">
              <a:srgbClr val="ACE8C3"/>
            </a:gs>
          </a:gsLst>
          <a:lin ang="5400000" scaled="1"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321734</xdr:colOff>
      <xdr:row>28</xdr:row>
      <xdr:rowOff>67735</xdr:rowOff>
    </xdr:from>
    <xdr:to>
      <xdr:col>2</xdr:col>
      <xdr:colOff>127000</xdr:colOff>
      <xdr:row>36</xdr:row>
      <xdr:rowOff>81902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384B4847-1889-4A08-9A01-DCC3091CD278}"/>
            </a:ext>
          </a:extLst>
        </xdr:cNvPr>
        <xdr:cNvGrpSpPr/>
      </xdr:nvGrpSpPr>
      <xdr:grpSpPr>
        <a:xfrm>
          <a:off x="321734" y="5300135"/>
          <a:ext cx="1380066" cy="1436567"/>
          <a:chOff x="10026651" y="6121401"/>
          <a:chExt cx="1329266" cy="1538167"/>
        </a:xfrm>
      </xdr:grpSpPr>
      <xdr:pic macro="[0]!OuvreformulaireAJOUT">
        <xdr:nvPicPr>
          <xdr:cNvPr id="14" name="Graphique 13" descr="Médical avec un remplissage uni">
            <a:extLst>
              <a:ext uri="{FF2B5EF4-FFF2-40B4-BE49-F238E27FC236}">
                <a16:creationId xmlns:a16="http://schemas.microsoft.com/office/drawing/2014/main" id="{ACA876CD-4C20-4764-B7B4-760A702B48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026651" y="6121401"/>
            <a:ext cx="1329266" cy="1329266"/>
          </a:xfrm>
          <a:prstGeom prst="rect">
            <a:avLst/>
          </a:prstGeom>
        </xdr:spPr>
      </xdr:pic>
      <xdr:sp macro="[0]!OuvreformulaireAJOUT" textlink="">
        <xdr:nvSpPr>
          <xdr:cNvPr id="70" name="ZoneTexte 69">
            <a:extLst>
              <a:ext uri="{FF2B5EF4-FFF2-40B4-BE49-F238E27FC236}">
                <a16:creationId xmlns:a16="http://schemas.microsoft.com/office/drawing/2014/main" id="{CF689270-B3BB-40BD-B7F2-8FAAB2AF0D9D}"/>
              </a:ext>
            </a:extLst>
          </xdr:cNvPr>
          <xdr:cNvSpPr txBox="1"/>
        </xdr:nvSpPr>
        <xdr:spPr>
          <a:xfrm>
            <a:off x="10244667" y="7238998"/>
            <a:ext cx="889000" cy="420570"/>
          </a:xfrm>
          <a:prstGeom prst="rect">
            <a:avLst/>
          </a:prstGeom>
          <a:noFill/>
          <a:ln w="9525" cmpd="sng"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 b="1">
                <a:solidFill>
                  <a:schemeClr val="tx2">
                    <a:lumMod val="50000"/>
                  </a:schemeClr>
                </a:solidFill>
                <a:latin typeface="Chiller" panose="04020404031007020602" pitchFamily="82" charset="0"/>
              </a:rPr>
              <a:t>Ajouter</a:t>
            </a:r>
            <a:endParaRPr lang="fr-FR" sz="3200" b="1">
              <a:solidFill>
                <a:schemeClr val="tx2">
                  <a:lumMod val="50000"/>
                </a:schemeClr>
              </a:solidFill>
              <a:latin typeface="Chiller" panose="04020404031007020602" pitchFamily="82" charset="0"/>
            </a:endParaRPr>
          </a:p>
        </xdr:txBody>
      </xdr:sp>
    </xdr:grpSp>
    <xdr:clientData/>
  </xdr:twoCellAnchor>
  <xdr:twoCellAnchor>
    <xdr:from>
      <xdr:col>2</xdr:col>
      <xdr:colOff>614970</xdr:colOff>
      <xdr:row>29</xdr:row>
      <xdr:rowOff>21167</xdr:rowOff>
    </xdr:from>
    <xdr:to>
      <xdr:col>4</xdr:col>
      <xdr:colOff>162256</xdr:colOff>
      <xdr:row>37</xdr:row>
      <xdr:rowOff>74081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5E837C54-D0F0-4EC1-9191-C0A3DD127D49}"/>
            </a:ext>
          </a:extLst>
        </xdr:cNvPr>
        <xdr:cNvGrpSpPr/>
      </xdr:nvGrpSpPr>
      <xdr:grpSpPr>
        <a:xfrm>
          <a:off x="2189770" y="5431367"/>
          <a:ext cx="1122086" cy="1475314"/>
          <a:chOff x="8764136" y="9789584"/>
          <a:chExt cx="1071286" cy="1576914"/>
        </a:xfrm>
      </xdr:grpSpPr>
      <xdr:sp macro="[0]!Ouvreformulairedesaisierap" textlink="">
        <xdr:nvSpPr>
          <xdr:cNvPr id="68" name="ZoneTexte 67">
            <a:extLst>
              <a:ext uri="{FF2B5EF4-FFF2-40B4-BE49-F238E27FC236}">
                <a16:creationId xmlns:a16="http://schemas.microsoft.com/office/drawing/2014/main" id="{4A1E7B32-22EB-486E-BE2E-9CA843D117EA}"/>
              </a:ext>
            </a:extLst>
          </xdr:cNvPr>
          <xdr:cNvSpPr txBox="1"/>
        </xdr:nvSpPr>
        <xdr:spPr>
          <a:xfrm>
            <a:off x="8764136" y="10544883"/>
            <a:ext cx="1071286" cy="821615"/>
          </a:xfrm>
          <a:prstGeom prst="rect">
            <a:avLst/>
          </a:prstGeom>
          <a:noFill/>
          <a:ln w="9525" cmpd="sng"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 b="1">
                <a:solidFill>
                  <a:schemeClr val="tx2">
                    <a:lumMod val="50000"/>
                  </a:schemeClr>
                </a:solidFill>
                <a:latin typeface="Chiller" panose="04020404031007020602" pitchFamily="82" charset="0"/>
              </a:rPr>
              <a:t>Forrmulaire Rappels</a:t>
            </a:r>
            <a:endParaRPr lang="fr-FR" sz="3200" b="1">
              <a:solidFill>
                <a:schemeClr val="tx2">
                  <a:lumMod val="50000"/>
                </a:schemeClr>
              </a:solidFill>
              <a:latin typeface="Chiller" panose="04020404031007020602" pitchFamily="82" charset="0"/>
            </a:endParaRPr>
          </a:p>
        </xdr:txBody>
      </xdr:sp>
      <xdr:pic macro="[0]!Ouvreformulairedesaisierap">
        <xdr:nvPicPr>
          <xdr:cNvPr id="16" name="Graphique 15" descr="Liste de contrôle avec un remplissage uni">
            <a:extLst>
              <a:ext uri="{FF2B5EF4-FFF2-40B4-BE49-F238E27FC236}">
                <a16:creationId xmlns:a16="http://schemas.microsoft.com/office/drawing/2014/main" id="{1B7880D9-1417-4D66-BDE3-979B2102A7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8837083" y="9789584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679166</xdr:colOff>
      <xdr:row>29</xdr:row>
      <xdr:rowOff>86500</xdr:rowOff>
    </xdr:from>
    <xdr:to>
      <xdr:col>6</xdr:col>
      <xdr:colOff>69566</xdr:colOff>
      <xdr:row>35</xdr:row>
      <xdr:rowOff>144915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34217DB4-4CB6-4E3B-B2C9-1AEF129D8295}"/>
            </a:ext>
          </a:extLst>
        </xdr:cNvPr>
        <xdr:cNvGrpSpPr/>
      </xdr:nvGrpSpPr>
      <xdr:grpSpPr>
        <a:xfrm>
          <a:off x="3828766" y="5496700"/>
          <a:ext cx="965200" cy="1125215"/>
          <a:chOff x="13622583" y="10151250"/>
          <a:chExt cx="914400" cy="1201415"/>
        </a:xfrm>
      </xdr:grpSpPr>
      <xdr:sp macro="[0]!RappelsTaches" textlink="">
        <xdr:nvSpPr>
          <xdr:cNvPr id="67" name="ZoneTexte 66">
            <a:extLst>
              <a:ext uri="{FF2B5EF4-FFF2-40B4-BE49-F238E27FC236}">
                <a16:creationId xmlns:a16="http://schemas.microsoft.com/office/drawing/2014/main" id="{B8C1E055-4FDD-46F4-BF19-F6ECCC8C2E96}"/>
              </a:ext>
            </a:extLst>
          </xdr:cNvPr>
          <xdr:cNvSpPr txBox="1"/>
        </xdr:nvSpPr>
        <xdr:spPr>
          <a:xfrm>
            <a:off x="13744733" y="10932095"/>
            <a:ext cx="701155" cy="420570"/>
          </a:xfrm>
          <a:prstGeom prst="rect">
            <a:avLst/>
          </a:prstGeom>
          <a:noFill/>
          <a:ln w="9525" cmpd="sng"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800" b="1">
                <a:solidFill>
                  <a:schemeClr val="tx2">
                    <a:lumMod val="50000"/>
                  </a:schemeClr>
                </a:solidFill>
                <a:latin typeface="Chiller" panose="04020404031007020602" pitchFamily="82" charset="0"/>
              </a:rPr>
              <a:t>Rappels</a:t>
            </a:r>
            <a:endParaRPr lang="fr-FR" sz="2800" b="1">
              <a:solidFill>
                <a:schemeClr val="tx2">
                  <a:lumMod val="50000"/>
                </a:schemeClr>
              </a:solidFill>
              <a:latin typeface="Chiller" panose="04020404031007020602" pitchFamily="82" charset="0"/>
            </a:endParaRPr>
          </a:p>
        </xdr:txBody>
      </xdr:sp>
      <xdr:pic macro="[0]!RappelsTaches">
        <xdr:nvPicPr>
          <xdr:cNvPr id="19" name="Graphique 18" descr="Avertissement avec un remplissage uni">
            <a:extLst>
              <a:ext uri="{FF2B5EF4-FFF2-40B4-BE49-F238E27FC236}">
                <a16:creationId xmlns:a16="http://schemas.microsoft.com/office/drawing/2014/main" id="{616DAFB5-AC5B-4D6E-8686-2A3E442283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3622583" y="10151250"/>
            <a:ext cx="914400" cy="9144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4C8B052-181C-46A3-AD19-364BBF3B5039}" name="TableauRappels" displayName="TableauRappels" ref="A1:C4" totalsRowShown="0">
  <autoFilter ref="A1:C4" xr:uid="{E4C8B052-181C-46A3-AD19-364BBF3B5039}"/>
  <tableColumns count="3">
    <tableColumn id="1" xr3:uid="{02ECC41E-A528-42A2-B2CB-E200774D7578}" name="Date du rappel"/>
    <tableColumn id="2" xr3:uid="{34FABE27-AEFA-44A5-884E-7CE21CAABC24}" name="Fréquence"/>
    <tableColumn id="3" xr3:uid="{0D3FA547-FDC5-455C-BA3B-62A3ECA313CC}" name="Descrip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D98092-EDE1-43B8-B80B-D6170C060EEE}" name="TableauAN" displayName="TableauAN" ref="A1:P4" totalsRowShown="0" headerRowDxfId="43" tableBorderDxfId="42">
  <autoFilter ref="A1:P4" xr:uid="{D4D98092-EDE1-43B8-B80B-D6170C060EEE}"/>
  <tableColumns count="16">
    <tableColumn id="1" xr3:uid="{6E7700BE-3C97-4312-A937-F2EFD06EAE1C}" name="Etat" dataDxfId="41"/>
    <tableColumn id="2" xr3:uid="{AC25C84D-87B3-4894-8413-A0AF87F16090}" name="N°" dataDxfId="40"/>
    <tableColumn id="3" xr3:uid="{D48DEADF-D38E-4A27-8962-2EAC9E64587F}" name="Date de prélèvement" dataDxfId="39"/>
    <tableColumn id="4" xr3:uid="{FC005CBA-1AE1-4A02-8C9C-A69B9536ECF4}" name="Produit" dataDxfId="38"/>
    <tableColumn id="14" xr3:uid="{734BD578-4649-450E-9FA3-91D3E0AF5A71}" name="Lot" dataDxfId="37"/>
    <tableColumn id="15" xr3:uid="{06AD6EA2-881D-497C-8F34-C187041B8C96}" name="Contexte" dataDxfId="36"/>
    <tableColumn id="5" xr3:uid="{CF65AAF4-7F0A-4C96-B89B-410513390437}" name="Type d’analyse" dataDxfId="35"/>
    <tableColumn id="6" xr3:uid="{7D92AF9D-A2B8-42A0-949F-BDF821CBBE5B}" name="Résultats C / NC" dataDxfId="34"/>
    <tableColumn id="12" xr3:uid="{A232E135-EC2D-47C0-9343-4179BA957D6B}" name="Unités" dataDxfId="33">
      <calculatedColumnFormula>IFERROR(INDEX(LISTE!N:N, MATCH(G2, LISTE!M:M, 0)), "")</calculatedColumnFormula>
    </tableColumn>
    <tableColumn id="10" xr3:uid="{79028FC3-9B92-4F45-9518-64EDDA96941D}" name="Critères" dataDxfId="32">
      <calculatedColumnFormula>IFERROR(INDEX(LISTE!O:O, MATCH(G2, LISTE!M:M, 0)), "")</calculatedColumnFormula>
    </tableColumn>
    <tableColumn id="13" xr3:uid="{815CF2F9-FA89-4FDF-B930-34BA659AC44D}" name="Seuils critiques (PMS)" dataDxfId="31">
      <calculatedColumnFormula>IFERROR(INDEX(LISTE!P:P, MATCH(G2, LISTE!M:M, 0)), "")</calculatedColumnFormula>
    </tableColumn>
    <tableColumn id="11" xr3:uid="{F8D2F61C-7AA3-46F7-863B-08FDD49723DE}" name="Résultat" dataDxfId="30"/>
    <tableColumn id="7" xr3:uid="{9768F496-44EE-4B41-8806-841881AAAEF2}" name="Description du problème" dataDxfId="29"/>
    <tableColumn id="8" xr3:uid="{5E907EF5-94B6-45A9-BE29-8B1FE7C03893}" name="Étude de causes /Actions correctives/Amélioration" dataDxfId="28"/>
    <tableColumn id="9" xr3:uid="{07597505-2971-4690-90CB-E0D272A777EB}" name="Date de mise en œuvre" dataDxfId="27"/>
    <tableColumn id="17" xr3:uid="{1387E6BE-238B-4DDD-BF29-7EDA4DF2DE77}" name="chemin analyse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7DD91C-3EA9-4C28-9D3B-C7FB365CA3D7}" name="TableauNC" displayName="TableauNC" ref="A1:L4" totalsRowShown="0" headerRowDxfId="25" tableBorderDxfId="24">
  <autoFilter ref="A1:L4" xr:uid="{707DD91C-3EA9-4C28-9D3B-C7FB365CA3D7}"/>
  <tableColumns count="12">
    <tableColumn id="1" xr3:uid="{62BEA0B4-2785-4A80-8188-52B5FBCAEB6E}" name="Etat"/>
    <tableColumn id="2" xr3:uid="{D7C38DA3-EC0D-47F6-B039-0C77879164FA}" name="N°" dataDxfId="23"/>
    <tableColumn id="3" xr3:uid="{715BDCA0-8CA0-434D-9BEC-3F05CFD98C91}" name="Type NC" dataDxfId="22"/>
    <tableColumn id="4" xr3:uid="{E53FB5E1-E710-40B9-9042-1A15765974E8}" name="Date" dataDxfId="21"/>
    <tableColumn id="5" xr3:uid="{AFA28C60-04B1-4885-9FD0-567822A79594}" name="Donneur d’alerte" dataDxfId="20"/>
    <tableColumn id="6" xr3:uid="{98E1AFBD-29CE-4FBD-BAE6-6E2B83D57B3E}" name="Description" dataDxfId="19"/>
    <tableColumn id="7" xr3:uid="{A60F94BE-0AF9-4E92-A516-F3A8CB322BED}" name="Criticité (1 à 9)" dataDxfId="18"/>
    <tableColumn id="8" xr3:uid="{A4CACDEB-01BF-4A19-A372-36D1EF34A1E9}" name="Action immédiate" dataDxfId="17"/>
    <tableColumn id="9" xr3:uid="{98C16DA9-CC0C-4481-BB45-986DFFA78282}" name="Étude de causes / Actions correctives" dataDxfId="16"/>
    <tableColumn id="10" xr3:uid="{46EC2007-4552-4E4A-9DCF-65620E6C0DC3}" name="Date de mise en œuvre" dataDxfId="15"/>
    <tableColumn id="11" xr3:uid="{CA3B343D-DD1B-4ED9-A8A6-2A8FBF54B8A8}" name="Efficacité" dataDxfId="14"/>
    <tableColumn id="12" xr3:uid="{90FB4784-DD14-4677-A8E0-10E3F9A5543A}" name="Récidive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A59464-D7AC-4457-91E6-797342263789}" name="TableauAL" displayName="TableauAL" ref="A1:E4" totalsRowShown="0" headerRowDxfId="12" headerRowBorderDxfId="11" tableBorderDxfId="10">
  <autoFilter ref="A1:E4" xr:uid="{5BA59464-D7AC-4457-91E6-797342263789}"/>
  <tableColumns count="5">
    <tableColumn id="1" xr3:uid="{D576028E-422C-40CF-BB3C-200311C9D7D4}" name="date du contrôle" dataDxfId="9"/>
    <tableColumn id="3" xr3:uid="{03EDD298-B442-4BE6-BE29-7D4794B9BABF}" name="Produit"/>
    <tableColumn id="5" xr3:uid="{6928A4EE-A570-4BEA-BCCE-D96CF275F9B2}" name="vérification"/>
    <tableColumn id="6" xr3:uid="{0552A084-F568-4F6D-B75F-B460075BC866}" name="action corrective"/>
    <tableColumn id="8" xr3:uid="{27BD94B0-FDF6-437F-9ED9-42A0AE158685}" name="vis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B57E01F-4D21-4E90-8FCD-E82C2EAF20C9}" name="TableaudDOR" displayName="TableaudDOR" ref="A1:E2" insertRow="1" totalsRowShown="0" headerRowDxfId="8" headerRowBorderDxfId="7" tableBorderDxfId="6">
  <autoFilter ref="A1:E2" xr:uid="{CB57E01F-4D21-4E90-8FCD-E82C2EAF20C9}"/>
  <tableColumns count="5">
    <tableColumn id="1" xr3:uid="{43B48291-E835-440D-824B-D8D7CAB0C9AB}" name="date du contrôle"/>
    <tableColumn id="2" xr3:uid="{D138BA25-997B-4120-B26E-8635DE5F452D}" name="Lot"/>
    <tableColumn id="3" xr3:uid="{44D0E4FD-F2B6-47A8-8879-8FB7AD86C1CF}" name="vérification"/>
    <tableColumn id="4" xr3:uid="{F7D87E25-7C75-4264-84FD-0E8580C8E646}" name="action corrective"/>
    <tableColumn id="5" xr3:uid="{96966731-FA5A-4625-A0D5-009A60088189}" name="vis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5752B8-B1CF-4919-9DC2-A9BB3EB9E101}" name="TableauET" displayName="TableauET" ref="A1:A3" totalsRowShown="0">
  <autoFilter ref="A1:A3" xr:uid="{A25752B8-B1CF-4919-9DC2-A9BB3EB9E101}"/>
  <tableColumns count="1">
    <tableColumn id="1" xr3:uid="{63C814B5-F39C-49BB-B892-6E2AAB9FABBD}" name="Eta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18EB86-20EC-41AD-9C39-CEA1B9407853}" name="TableauCNC" displayName="TableauCNC" ref="C1:C4" totalsRowShown="0">
  <autoFilter ref="C1:C4" xr:uid="{DD18EB86-20EC-41AD-9C39-CEA1B9407853}"/>
  <tableColumns count="1">
    <tableColumn id="1" xr3:uid="{BA5143F7-3237-49A1-B3B1-A019890693E5}" name="Type NC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AFA415-DDEF-45C9-A9CA-8430605FA345}" name="TableauEFF" displayName="TableauEFF" ref="E1:E3" totalsRowShown="0">
  <autoFilter ref="E1:E3" xr:uid="{1CAFA415-DDEF-45C9-A9CA-8430605FA345}"/>
  <tableColumns count="1">
    <tableColumn id="1" xr3:uid="{62CE3C23-610D-4B27-89DD-5E8356E50ABB}" name="Efficacité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6492AC-E88B-4145-BB74-C7C283003AFD}" name="TableauRECIDIVE" displayName="TableauRECIDIVE" ref="G1:G3" totalsRowShown="0">
  <autoFilter ref="G1:G3" xr:uid="{106492AC-E88B-4145-BB74-C7C283003AFD}"/>
  <tableColumns count="1">
    <tableColumn id="1" xr3:uid="{D2C5BE01-263E-48D8-80B9-CABAAA128A35}" name="Récidiv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E2BB1E-F39E-4C5B-A813-BFABCDC5867B}" name="TableauVERIF" displayName="TableauVERIF" ref="I1:I3" totalsRowShown="0">
  <autoFilter ref="I1:I3" xr:uid="{88E2BB1E-F39E-4C5B-A813-BFABCDC5867B}"/>
  <tableColumns count="1">
    <tableColumn id="1" xr3:uid="{A2BD90D4-5B24-4C61-94E5-EA28B632FF08}" name="Vérifica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81FA77E-3F1B-44DD-B6A1-EEA64C740BC1}" name="TableauVISA" displayName="TableauVISA" ref="K1:K6" totalsRowShown="0">
  <autoFilter ref="K1:K6" xr:uid="{C81FA77E-3F1B-44DD-B6A1-EEA64C740BC1}"/>
  <tableColumns count="1">
    <tableColumn id="1" xr3:uid="{7F617140-B7D4-44C8-B95B-F771E63DDF5C}" name="vis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C9E9BD6-9028-40C3-9CD3-C391B41ED502}" name="TableauPARFFORM" displayName="TableauPARFFORM" ref="R1:R7" totalsRowShown="0">
  <autoFilter ref="R1:R7" xr:uid="{5C9E9BD6-9028-40C3-9CD3-C391B41ED502}"/>
  <tableColumns count="1">
    <tableColumn id="1" xr3:uid="{22A3804A-1071-4D9F-B502-16C1A959F995}" name="Parfum/forma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CF68D0E-B901-49D2-BC30-2E1B7D573258}" name="TableauCNC2" displayName="TableauCNC2" ref="T1:T3" totalsRowShown="0">
  <autoFilter ref="T1:T3" xr:uid="{8CF68D0E-B901-49D2-BC30-2E1B7D573258}"/>
  <tableColumns count="1">
    <tableColumn id="1" xr3:uid="{B18FCBF6-AF80-4141-BDCB-AD72328F809F}" name="Colonne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CFD2730-7EFD-4391-BA81-EC1265183586}" name="TableauCRIT" displayName="TableauCRIT" ref="M1:P7" totalsRowShown="0" dataDxfId="5" tableBorderDxfId="4">
  <autoFilter ref="M1:P7" xr:uid="{8CFD2730-7EFD-4391-BA81-EC1265183586}"/>
  <tableColumns count="4">
    <tableColumn id="1" xr3:uid="{C66F6937-5630-4E49-9E4E-4470698D413F}" name="Germe recherché" dataDxfId="3"/>
    <tableColumn id="2" xr3:uid="{FC051B5C-A19E-4D00-9BBA-2398858E9B89}" name="Unité" dataDxfId="2"/>
    <tableColumn id="3" xr3:uid="{A5060D57-988E-443C-AAD6-D5941A1F4E5E}" name="Critère" dataDxfId="1"/>
    <tableColumn id="4" xr3:uid="{25D0ABB2-9BED-4977-A449-F6DA5F4B0395}" name="Seuil critique PM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F6589-7023-4FE3-8954-5973A6769D9D}">
  <sheetPr codeName="Feuil4"/>
  <dimension ref="B1:B53"/>
  <sheetViews>
    <sheetView showGridLines="0" tabSelected="1" zoomScale="60" zoomScaleNormal="60" workbookViewId="0">
      <selection activeCell="Y23" sqref="Y23"/>
    </sheetView>
  </sheetViews>
  <sheetFormatPr baseColWidth="10" defaultColWidth="11.44140625" defaultRowHeight="14.4" x14ac:dyDescent="0.3"/>
  <cols>
    <col min="1" max="16384" width="11.44140625" style="17"/>
  </cols>
  <sheetData>
    <row r="1" s="33" customFormat="1" ht="12.75" customHeight="1" x14ac:dyDescent="0.3"/>
    <row r="2" s="33" customFormat="1" x14ac:dyDescent="0.3"/>
    <row r="3" s="33" customFormat="1" x14ac:dyDescent="0.3"/>
    <row r="4" s="33" customFormat="1" x14ac:dyDescent="0.3"/>
    <row r="5" s="33" customFormat="1" ht="35.25" customHeight="1" x14ac:dyDescent="0.3"/>
    <row r="53" spans="2:2" x14ac:dyDescent="0.3">
      <c r="B53" s="26"/>
    </row>
  </sheetData>
  <sheetProtection algorithmName="SHA-512" hashValue="ZHisR+w7OAl8Q6ujfBNfeCJpRBA0A8IvGf7PEtkAquhGjNWP4c/E5YqcoqrAtngo1b0GTfxu/Vdpeo25UsoZsg==" saltValue="hUqMptA3B2HgRBoc4q+VkA==" spinCount="100000"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AFD66-7F88-4AE4-B26F-85E2341B1022}">
  <sheetPr codeName="Feuil7"/>
  <dimension ref="A1:C4"/>
  <sheetViews>
    <sheetView workbookViewId="0">
      <selection activeCell="B3" sqref="B3"/>
    </sheetView>
  </sheetViews>
  <sheetFormatPr baseColWidth="10" defaultRowHeight="14.4" x14ac:dyDescent="0.3"/>
  <cols>
    <col min="1" max="1" width="16.109375" customWidth="1"/>
    <col min="2" max="2" width="14.109375" customWidth="1"/>
    <col min="3" max="3" width="13.33203125" customWidth="1"/>
  </cols>
  <sheetData>
    <row r="1" spans="1:3" x14ac:dyDescent="0.3">
      <c r="A1" t="s">
        <v>46</v>
      </c>
      <c r="B1" t="s">
        <v>47</v>
      </c>
      <c r="C1" t="s">
        <v>2</v>
      </c>
    </row>
    <row r="2" spans="1:3" x14ac:dyDescent="0.3">
      <c r="A2" s="9">
        <v>45696</v>
      </c>
      <c r="B2" t="s">
        <v>71</v>
      </c>
      <c r="C2" t="s">
        <v>70</v>
      </c>
    </row>
    <row r="3" spans="1:3" x14ac:dyDescent="0.3">
      <c r="A3" s="9">
        <v>45697</v>
      </c>
      <c r="B3" t="s">
        <v>71</v>
      </c>
      <c r="C3" t="s">
        <v>70</v>
      </c>
    </row>
    <row r="4" spans="1:3" x14ac:dyDescent="0.3">
      <c r="A4" s="9">
        <v>45705</v>
      </c>
      <c r="B4" t="s">
        <v>76</v>
      </c>
      <c r="C4" t="s">
        <v>70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D2014-40CC-4959-9377-B723C327AC1B}">
  <sheetPr codeName="Feuil2"/>
  <dimension ref="A1:Q4"/>
  <sheetViews>
    <sheetView showGridLines="0" zoomScale="70" zoomScaleNormal="70" workbookViewId="0">
      <selection activeCell="H39" sqref="H39"/>
    </sheetView>
  </sheetViews>
  <sheetFormatPr baseColWidth="10" defaultRowHeight="14.4" x14ac:dyDescent="0.3"/>
  <cols>
    <col min="1" max="1" width="11.44140625" style="20"/>
    <col min="3" max="3" width="20.6640625" customWidth="1"/>
    <col min="4" max="4" width="16.109375" style="13" bestFit="1" customWidth="1"/>
    <col min="5" max="6" width="16.109375" style="13" customWidth="1"/>
    <col min="7" max="7" width="15.44140625" style="30" customWidth="1"/>
    <col min="8" max="8" width="39.6640625" style="15" bestFit="1" customWidth="1"/>
    <col min="9" max="12" width="39.6640625" style="15" customWidth="1"/>
    <col min="13" max="13" width="34" style="16" customWidth="1"/>
    <col min="14" max="14" width="39.109375" style="16" customWidth="1"/>
    <col min="15" max="15" width="25.88671875" style="15" customWidth="1"/>
    <col min="16" max="16" width="19.5546875" style="15" bestFit="1" customWidth="1"/>
    <col min="17" max="17" width="11.44140625" style="16"/>
  </cols>
  <sheetData>
    <row r="1" spans="1:16" ht="78.75" customHeight="1" x14ac:dyDescent="0.3">
      <c r="A1" s="18" t="s">
        <v>30</v>
      </c>
      <c r="B1" s="11" t="s">
        <v>0</v>
      </c>
      <c r="C1" s="14" t="s">
        <v>40</v>
      </c>
      <c r="D1" s="10" t="s">
        <v>18</v>
      </c>
      <c r="E1" s="10" t="s">
        <v>45</v>
      </c>
      <c r="F1" s="10" t="s">
        <v>72</v>
      </c>
      <c r="G1" s="10" t="s">
        <v>25</v>
      </c>
      <c r="H1" s="10" t="s">
        <v>41</v>
      </c>
      <c r="I1" s="10" t="s">
        <v>59</v>
      </c>
      <c r="J1" s="10" t="s">
        <v>49</v>
      </c>
      <c r="K1" s="10" t="s">
        <v>63</v>
      </c>
      <c r="L1" s="10" t="s">
        <v>58</v>
      </c>
      <c r="M1" s="10" t="s">
        <v>26</v>
      </c>
      <c r="N1" s="10" t="s">
        <v>42</v>
      </c>
      <c r="O1" s="10" t="s">
        <v>38</v>
      </c>
      <c r="P1" s="32" t="s">
        <v>75</v>
      </c>
    </row>
    <row r="2" spans="1:16" ht="24.6" thickBot="1" x14ac:dyDescent="0.35">
      <c r="A2" s="19" t="s">
        <v>24</v>
      </c>
      <c r="B2" s="12">
        <v>1</v>
      </c>
      <c r="C2" s="4" t="s">
        <v>87</v>
      </c>
      <c r="D2" s="1" t="s">
        <v>77</v>
      </c>
      <c r="E2" s="1">
        <v>101</v>
      </c>
      <c r="F2" s="1"/>
      <c r="G2" s="1" t="s">
        <v>50</v>
      </c>
      <c r="H2" s="1" t="s">
        <v>27</v>
      </c>
      <c r="I2" s="1" t="str">
        <f>IFERROR(INDEX(LISTE!N:N, MATCH(G2, LISTE!M:M, 0)), "")</f>
        <v>UFC/g</v>
      </c>
      <c r="J2" s="1" t="str">
        <f>IFERROR(INDEX(LISTE!O:O, MATCH(G2, LISTE!M:M, 0)), "")</f>
        <v>&lt;100 000</v>
      </c>
      <c r="K2" s="1" t="str">
        <f>IFERROR(INDEX(LISTE!P:P, MATCH(G2, LISTE!M:M, 0)), "")</f>
        <v>aucun</v>
      </c>
      <c r="L2" s="1">
        <v>0</v>
      </c>
      <c r="M2" s="1"/>
      <c r="N2" s="1" t="s">
        <v>28</v>
      </c>
      <c r="O2" s="4" t="s">
        <v>48</v>
      </c>
    </row>
    <row r="3" spans="1:16" ht="24.6" thickBot="1" x14ac:dyDescent="0.35">
      <c r="A3" s="19" t="s">
        <v>24</v>
      </c>
      <c r="B3" s="12">
        <v>2</v>
      </c>
      <c r="C3" s="4" t="s">
        <v>88</v>
      </c>
      <c r="D3" s="1" t="s">
        <v>78</v>
      </c>
      <c r="E3" s="1">
        <v>102</v>
      </c>
      <c r="F3" s="1" t="s">
        <v>74</v>
      </c>
      <c r="G3" s="1" t="s">
        <v>52</v>
      </c>
      <c r="H3" s="1" t="s">
        <v>29</v>
      </c>
      <c r="I3" s="1" t="str">
        <f>IFERROR(INDEX(LISTE!N:N, MATCH(G3, LISTE!M:M, 0)), "")</f>
        <v>UFC/g</v>
      </c>
      <c r="J3" s="1" t="str">
        <f>IFERROR(INDEX(LISTE!O:O, MATCH(G3, LISTE!M:M, 0)), "")</f>
        <v>&lt;10</v>
      </c>
      <c r="K3" s="1" t="str">
        <f>IFERROR(INDEX(LISTE!P:P, MATCH(G3, LISTE!M:M, 0)), "")</f>
        <v>5000 UFC/g</v>
      </c>
      <c r="L3" s="1">
        <v>300</v>
      </c>
      <c r="M3" s="1" t="s">
        <v>85</v>
      </c>
      <c r="N3" s="1" t="s">
        <v>86</v>
      </c>
      <c r="O3" s="4" t="s">
        <v>48</v>
      </c>
    </row>
    <row r="4" spans="1:16" ht="36.6" thickBot="1" x14ac:dyDescent="0.35">
      <c r="A4" s="19" t="s">
        <v>24</v>
      </c>
      <c r="B4" s="12">
        <v>3</v>
      </c>
      <c r="C4" s="4" t="s">
        <v>89</v>
      </c>
      <c r="D4" s="1" t="s">
        <v>79</v>
      </c>
      <c r="E4" s="1">
        <v>103</v>
      </c>
      <c r="F4" s="1"/>
      <c r="G4" s="1" t="s">
        <v>54</v>
      </c>
      <c r="H4" s="1" t="s">
        <v>27</v>
      </c>
      <c r="I4" s="1" t="str">
        <f>IFERROR(INDEX(LISTE!N:N, MATCH(G4, LISTE!M:M, 0)), "")</f>
        <v>UFC/g</v>
      </c>
      <c r="J4" s="1" t="str">
        <f>IFERROR(INDEX(LISTE!O:O, MATCH(G4, LISTE!M:M, 0)), "")</f>
        <v>non détécté</v>
      </c>
      <c r="K4" s="1" t="str">
        <f>IFERROR(INDEX(LISTE!P:P, MATCH(G4, LISTE!M:M, 0)), "")</f>
        <v>10 UFC/g</v>
      </c>
      <c r="L4" s="1">
        <v>0</v>
      </c>
      <c r="M4" s="1"/>
      <c r="N4" s="1"/>
      <c r="O4" s="4"/>
    </row>
  </sheetData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L4"/>
  <sheetViews>
    <sheetView zoomScaleNormal="100" workbookViewId="0">
      <selection activeCell="H1" sqref="H1"/>
    </sheetView>
  </sheetViews>
  <sheetFormatPr baseColWidth="10" defaultColWidth="9.109375" defaultRowHeight="14.4" x14ac:dyDescent="0.3"/>
  <cols>
    <col min="1" max="1" width="8" customWidth="1"/>
    <col min="2" max="2" width="8.109375" style="16" customWidth="1"/>
    <col min="3" max="3" width="11.109375" customWidth="1"/>
    <col min="4" max="4" width="17.44140625" style="9" customWidth="1"/>
    <col min="5" max="5" width="27.88671875" style="15" customWidth="1"/>
    <col min="6" max="6" width="42.88671875" style="15" customWidth="1"/>
    <col min="7" max="7" width="14" customWidth="1"/>
    <col min="8" max="8" width="38.88671875" style="15" customWidth="1"/>
    <col min="9" max="9" width="49.109375" style="15" customWidth="1"/>
    <col min="10" max="10" width="17.44140625" style="23" customWidth="1"/>
    <col min="11" max="12" width="9.109375" style="16"/>
  </cols>
  <sheetData>
    <row r="1" spans="1:12" ht="55.5" customHeight="1" thickBot="1" x14ac:dyDescent="0.35">
      <c r="A1" s="21" t="s">
        <v>30</v>
      </c>
      <c r="B1" s="10" t="s">
        <v>0</v>
      </c>
      <c r="C1" s="10" t="s">
        <v>33</v>
      </c>
      <c r="D1" s="14" t="s">
        <v>39</v>
      </c>
      <c r="E1" s="10" t="s">
        <v>1</v>
      </c>
      <c r="F1" s="10" t="s">
        <v>2</v>
      </c>
      <c r="G1" s="10" t="s">
        <v>37</v>
      </c>
      <c r="H1" s="10" t="s">
        <v>3</v>
      </c>
      <c r="I1" s="10" t="s">
        <v>36</v>
      </c>
      <c r="J1" s="14" t="s">
        <v>38</v>
      </c>
      <c r="K1" s="10" t="s">
        <v>34</v>
      </c>
      <c r="L1" s="22" t="s">
        <v>35</v>
      </c>
    </row>
    <row r="2" spans="1:12" ht="24.6" thickBot="1" x14ac:dyDescent="0.35">
      <c r="A2" s="6"/>
      <c r="B2" s="25">
        <v>1</v>
      </c>
      <c r="C2" s="2" t="s">
        <v>7</v>
      </c>
      <c r="D2" s="4">
        <v>45992</v>
      </c>
      <c r="E2" s="8" t="s">
        <v>82</v>
      </c>
      <c r="F2" s="5" t="s">
        <v>6</v>
      </c>
      <c r="G2" s="2">
        <v>1</v>
      </c>
      <c r="H2" s="5" t="s">
        <v>8</v>
      </c>
      <c r="I2" s="5" t="s">
        <v>9</v>
      </c>
      <c r="J2" s="3">
        <v>45992</v>
      </c>
      <c r="K2" s="1" t="s">
        <v>10</v>
      </c>
      <c r="L2" s="1" t="s">
        <v>16</v>
      </c>
    </row>
    <row r="3" spans="1:12" ht="39.75" customHeight="1" thickBot="1" x14ac:dyDescent="0.35">
      <c r="A3" s="7" t="s">
        <v>12</v>
      </c>
      <c r="B3" s="25">
        <v>2</v>
      </c>
      <c r="C3" s="2" t="s">
        <v>7</v>
      </c>
      <c r="D3" s="4" t="s">
        <v>90</v>
      </c>
      <c r="E3" s="8" t="s">
        <v>83</v>
      </c>
      <c r="F3" s="8" t="s">
        <v>11</v>
      </c>
      <c r="G3" s="1">
        <v>9</v>
      </c>
      <c r="H3" s="8" t="s">
        <v>91</v>
      </c>
      <c r="I3" s="8" t="s">
        <v>23</v>
      </c>
      <c r="J3" s="4" t="s">
        <v>90</v>
      </c>
      <c r="K3" s="1" t="s">
        <v>4</v>
      </c>
      <c r="L3" s="1" t="s">
        <v>5</v>
      </c>
    </row>
    <row r="4" spans="1:12" ht="15" thickBot="1" x14ac:dyDescent="0.35">
      <c r="A4" s="6"/>
      <c r="B4" s="25">
        <v>3</v>
      </c>
      <c r="C4" s="2" t="s">
        <v>13</v>
      </c>
      <c r="D4" s="4" t="s">
        <v>92</v>
      </c>
      <c r="E4" s="5" t="s">
        <v>84</v>
      </c>
      <c r="F4" s="5" t="s">
        <v>93</v>
      </c>
      <c r="G4" s="2">
        <v>6</v>
      </c>
      <c r="H4" s="5" t="s">
        <v>14</v>
      </c>
      <c r="I4" s="5" t="s">
        <v>94</v>
      </c>
      <c r="J4" s="4" t="s">
        <v>95</v>
      </c>
      <c r="K4" s="2" t="s">
        <v>16</v>
      </c>
      <c r="L4" s="2" t="s">
        <v>10</v>
      </c>
    </row>
  </sheetData>
  <sortState xmlns:xlrd2="http://schemas.microsoft.com/office/spreadsheetml/2017/richdata2" ref="A2:L4">
    <sortCondition ref="B2:B4"/>
  </sortState>
  <pageMargins left="0.25" right="0.25" top="0.75" bottom="0.75" header="0.3" footer="0.3"/>
  <pageSetup paperSize="9" scale="58" orientation="landscape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19E34-72E3-49F5-AEB6-51D8AB526876}">
  <sheetPr codeName="Feuil3"/>
  <dimension ref="A1:E4"/>
  <sheetViews>
    <sheetView workbookViewId="0">
      <selection activeCell="A6" sqref="A6:XFD28"/>
    </sheetView>
  </sheetViews>
  <sheetFormatPr baseColWidth="10" defaultRowHeight="14.4" x14ac:dyDescent="0.3"/>
  <cols>
    <col min="1" max="1" width="20.109375" style="16" bestFit="1" customWidth="1"/>
    <col min="2" max="2" width="20.109375" bestFit="1" customWidth="1"/>
    <col min="3" max="3" width="13.44140625" bestFit="1" customWidth="1"/>
    <col min="4" max="4" width="20.33203125" bestFit="1" customWidth="1"/>
  </cols>
  <sheetData>
    <row r="1" spans="1:5" x14ac:dyDescent="0.3">
      <c r="A1" s="24" t="s">
        <v>19</v>
      </c>
      <c r="B1" s="24" t="s">
        <v>18</v>
      </c>
      <c r="C1" s="24" t="s">
        <v>20</v>
      </c>
      <c r="D1" s="24" t="s">
        <v>21</v>
      </c>
      <c r="E1" s="24" t="s">
        <v>22</v>
      </c>
    </row>
    <row r="2" spans="1:5" x14ac:dyDescent="0.3">
      <c r="A2" s="23" t="s">
        <v>96</v>
      </c>
      <c r="B2" t="s">
        <v>97</v>
      </c>
      <c r="C2" t="s">
        <v>28</v>
      </c>
      <c r="D2">
        <v>0</v>
      </c>
      <c r="E2" t="s">
        <v>82</v>
      </c>
    </row>
    <row r="3" spans="1:5" x14ac:dyDescent="0.3">
      <c r="A3" s="16" t="s">
        <v>96</v>
      </c>
      <c r="B3" t="s">
        <v>98</v>
      </c>
      <c r="C3" t="s">
        <v>28</v>
      </c>
      <c r="D3">
        <v>0</v>
      </c>
      <c r="E3" t="s">
        <v>83</v>
      </c>
    </row>
    <row r="4" spans="1:5" x14ac:dyDescent="0.3">
      <c r="A4" s="16" t="s">
        <v>96</v>
      </c>
      <c r="B4" t="s">
        <v>99</v>
      </c>
      <c r="C4" t="s">
        <v>28</v>
      </c>
      <c r="D4">
        <v>0</v>
      </c>
      <c r="E4" t="s">
        <v>84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94475-DB8D-4308-B4C4-0DD9C71A3E3F}">
  <sheetPr codeName="Feuil6"/>
  <dimension ref="A1:E2"/>
  <sheetViews>
    <sheetView workbookViewId="0"/>
  </sheetViews>
  <sheetFormatPr baseColWidth="10" defaultRowHeight="14.4" x14ac:dyDescent="0.3"/>
  <cols>
    <col min="1" max="1" width="20.109375" bestFit="1" customWidth="1"/>
    <col min="3" max="3" width="15.6640625" bestFit="1" customWidth="1"/>
    <col min="4" max="4" width="20.33203125" bestFit="1" customWidth="1"/>
  </cols>
  <sheetData>
    <row r="1" spans="1:5" x14ac:dyDescent="0.3">
      <c r="A1" s="27" t="s">
        <v>19</v>
      </c>
      <c r="B1" s="27" t="s">
        <v>45</v>
      </c>
      <c r="C1" s="27" t="s">
        <v>20</v>
      </c>
      <c r="D1" s="27" t="s">
        <v>21</v>
      </c>
      <c r="E1" s="27" t="s">
        <v>22</v>
      </c>
    </row>
    <row r="2" spans="1:5" x14ac:dyDescent="0.3">
      <c r="A2" s="29"/>
      <c r="B2" s="28"/>
      <c r="C2" s="28"/>
      <c r="D2" s="28"/>
      <c r="E2" s="28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DB6BA-18E5-46C5-8164-290F2ED34E63}">
  <sheetPr codeName="Feuil5"/>
  <dimension ref="A1:T7"/>
  <sheetViews>
    <sheetView topLeftCell="B1" workbookViewId="0">
      <selection activeCell="M20" sqref="M20"/>
    </sheetView>
  </sheetViews>
  <sheetFormatPr baseColWidth="10" defaultRowHeight="14.4" x14ac:dyDescent="0.3"/>
  <cols>
    <col min="13" max="13" width="23.109375" customWidth="1"/>
    <col min="14" max="15" width="11.5546875" customWidth="1"/>
    <col min="16" max="16" width="19.5546875" bestFit="1" customWidth="1"/>
    <col min="20" max="20" width="11.5546875" customWidth="1"/>
  </cols>
  <sheetData>
    <row r="1" spans="1:20" x14ac:dyDescent="0.3">
      <c r="A1" t="s">
        <v>30</v>
      </c>
      <c r="C1" t="s">
        <v>33</v>
      </c>
      <c r="E1" t="s">
        <v>34</v>
      </c>
      <c r="G1" t="s">
        <v>35</v>
      </c>
      <c r="I1" t="s">
        <v>44</v>
      </c>
      <c r="K1" t="s">
        <v>22</v>
      </c>
      <c r="M1" s="35" t="s">
        <v>100</v>
      </c>
      <c r="N1" s="35" t="s">
        <v>101</v>
      </c>
      <c r="O1" s="35" t="s">
        <v>102</v>
      </c>
      <c r="P1" s="36" t="s">
        <v>103</v>
      </c>
      <c r="R1" t="s">
        <v>73</v>
      </c>
      <c r="T1" t="s">
        <v>69</v>
      </c>
    </row>
    <row r="2" spans="1:20" x14ac:dyDescent="0.3">
      <c r="A2" t="s">
        <v>31</v>
      </c>
      <c r="C2" t="s">
        <v>15</v>
      </c>
      <c r="E2" t="s">
        <v>16</v>
      </c>
      <c r="G2" t="s">
        <v>16</v>
      </c>
      <c r="I2" t="s">
        <v>28</v>
      </c>
      <c r="K2" t="s">
        <v>82</v>
      </c>
      <c r="M2" s="37" t="s">
        <v>50</v>
      </c>
      <c r="N2" s="37" t="s">
        <v>60</v>
      </c>
      <c r="O2" s="37" t="s">
        <v>55</v>
      </c>
      <c r="P2" s="38" t="s">
        <v>64</v>
      </c>
      <c r="R2" t="s">
        <v>77</v>
      </c>
      <c r="T2" t="s">
        <v>27</v>
      </c>
    </row>
    <row r="3" spans="1:20" x14ac:dyDescent="0.3">
      <c r="A3" t="s">
        <v>32</v>
      </c>
      <c r="C3" t="s">
        <v>17</v>
      </c>
      <c r="E3" t="s">
        <v>10</v>
      </c>
      <c r="G3" t="s">
        <v>10</v>
      </c>
      <c r="I3" t="s">
        <v>43</v>
      </c>
      <c r="K3" t="s">
        <v>83</v>
      </c>
      <c r="M3" s="31" t="s">
        <v>52</v>
      </c>
      <c r="N3" s="31" t="s">
        <v>60</v>
      </c>
      <c r="O3" s="31" t="s">
        <v>56</v>
      </c>
      <c r="P3" s="34" t="s">
        <v>65</v>
      </c>
      <c r="R3" t="s">
        <v>78</v>
      </c>
      <c r="T3" t="s">
        <v>29</v>
      </c>
    </row>
    <row r="4" spans="1:20" x14ac:dyDescent="0.3">
      <c r="C4" t="s">
        <v>13</v>
      </c>
      <c r="K4" t="s">
        <v>84</v>
      </c>
      <c r="M4" s="31" t="s">
        <v>51</v>
      </c>
      <c r="N4" s="31" t="s">
        <v>60</v>
      </c>
      <c r="O4" s="31" t="s">
        <v>56</v>
      </c>
      <c r="P4" s="34" t="s">
        <v>67</v>
      </c>
      <c r="R4" t="s">
        <v>79</v>
      </c>
    </row>
    <row r="5" spans="1:20" x14ac:dyDescent="0.3">
      <c r="K5" t="s">
        <v>104</v>
      </c>
      <c r="M5" s="31" t="s">
        <v>53</v>
      </c>
      <c r="N5" s="31" t="s">
        <v>61</v>
      </c>
      <c r="O5" s="31" t="s">
        <v>57</v>
      </c>
      <c r="P5" s="34" t="s">
        <v>68</v>
      </c>
      <c r="R5" t="s">
        <v>80</v>
      </c>
    </row>
    <row r="6" spans="1:20" x14ac:dyDescent="0.3">
      <c r="K6" t="s">
        <v>106</v>
      </c>
      <c r="M6" s="31" t="s">
        <v>54</v>
      </c>
      <c r="N6" s="31" t="s">
        <v>60</v>
      </c>
      <c r="O6" s="31" t="s">
        <v>57</v>
      </c>
      <c r="P6" s="34" t="s">
        <v>66</v>
      </c>
      <c r="R6" t="s">
        <v>81</v>
      </c>
    </row>
    <row r="7" spans="1:20" x14ac:dyDescent="0.3">
      <c r="M7" s="31" t="s">
        <v>62</v>
      </c>
      <c r="N7" s="31" t="s">
        <v>61</v>
      </c>
      <c r="O7" s="31" t="s">
        <v>57</v>
      </c>
      <c r="P7" s="34" t="s">
        <v>68</v>
      </c>
      <c r="R7" t="s">
        <v>105</v>
      </c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702cae8-b65a-4805-ae66-c0225d51836b">
      <Terms xmlns="http://schemas.microsoft.com/office/infopath/2007/PartnerControls"/>
    </lcf76f155ced4ddcb4097134ff3c332f>
    <TaxCatchAll xmlns="ded762c6-9c0f-428c-ba92-3f93dffe958b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862C00C759AC4B9B1706BE9088A6A5" ma:contentTypeVersion="15" ma:contentTypeDescription="Crée un document." ma:contentTypeScope="" ma:versionID="96413973e35edb1f88e9d4637630597a">
  <xsd:schema xmlns:xsd="http://www.w3.org/2001/XMLSchema" xmlns:xs="http://www.w3.org/2001/XMLSchema" xmlns:p="http://schemas.microsoft.com/office/2006/metadata/properties" xmlns:ns2="4702cae8-b65a-4805-ae66-c0225d51836b" xmlns:ns3="ded762c6-9c0f-428c-ba92-3f93dffe958b" targetNamespace="http://schemas.microsoft.com/office/2006/metadata/properties" ma:root="true" ma:fieldsID="bbf06e10806d12fe9fb312a8a6c73601" ns2:_="" ns3:_="">
    <xsd:import namespace="4702cae8-b65a-4805-ae66-c0225d51836b"/>
    <xsd:import namespace="ded762c6-9c0f-428c-ba92-3f93dffe958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2cae8-b65a-4805-ae66-c0225d5183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a7a06968-245f-43f4-9604-68eb70fcb43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d762c6-9c0f-428c-ba92-3f93dffe958b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546ef761-3447-461a-acae-3f30b45d0533}" ma:internalName="TaxCatchAll" ma:showField="CatchAllData" ma:web="ded762c6-9c0f-428c-ba92-3f93dffe958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27F6270-C13B-4E08-B6B7-8DDEB596BDB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380781-CA4C-4F59-B7F7-0AB133B9C9B3}">
  <ds:schemaRefs>
    <ds:schemaRef ds:uri="http://schemas.microsoft.com/office/2006/metadata/properties"/>
    <ds:schemaRef ds:uri="http://schemas.microsoft.com/office/infopath/2007/PartnerControls"/>
    <ds:schemaRef ds:uri="4702cae8-b65a-4805-ae66-c0225d51836b"/>
    <ds:schemaRef ds:uri="ded762c6-9c0f-428c-ba92-3f93dffe958b"/>
  </ds:schemaRefs>
</ds:datastoreItem>
</file>

<file path=customXml/itemProps3.xml><?xml version="1.0" encoding="utf-8"?>
<ds:datastoreItem xmlns:ds="http://schemas.openxmlformats.org/officeDocument/2006/customXml" ds:itemID="{3151C1DF-8F1C-4EE4-94A2-D79B2A5FFE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702cae8-b65a-4805-ae66-c0225d51836b"/>
    <ds:schemaRef ds:uri="ded762c6-9c0f-428c-ba92-3f93dffe958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Tableau de bord</vt:lpstr>
      <vt:lpstr>Tableau suivi rappels</vt:lpstr>
      <vt:lpstr>suivi des analyses</vt:lpstr>
      <vt:lpstr>suivi des non conformités</vt:lpstr>
      <vt:lpstr>suivi de concordance allergène </vt:lpstr>
      <vt:lpstr>suivi contrôle lait</vt:lpstr>
      <vt:lpstr>LISTE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Gregory LaboQuali</dc:creator>
  <cp:lastModifiedBy>Samuel JAY</cp:lastModifiedBy>
  <cp:lastPrinted>2024-12-27T09:29:49Z</cp:lastPrinted>
  <dcterms:created xsi:type="dcterms:W3CDTF">2015-06-05T18:19:34Z</dcterms:created>
  <dcterms:modified xsi:type="dcterms:W3CDTF">2026-03-29T15:42:08Z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0x010100C8862C00C759AC4B9B1706BE9088A6A5</vt:lpwstr>
  </property>
  <property fmtid="{D5CDD505-2E9C-101B-9397-08002B2CF9AE}" pid="3" name="MediaServiceImageTags">
    <vt:lpwstr/>
  </property>
</Properties>
</file>